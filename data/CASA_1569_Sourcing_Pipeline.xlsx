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f97b9949c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ing Pipeline" sheetId="1" r:id="R96aca1bbda114233"/>
    <x:sheet xmlns:r="http://schemas.openxmlformats.org/officeDocument/2006/relationships" name="Launch Routes" sheetId="2" r:id="Rafdca2938a994b36"/>
    <x:sheet xmlns:r="http://schemas.openxmlformats.org/officeDocument/2006/relationships" name="Supplier Questions" sheetId="3" r:id="Re70721a9e67d4b3b"/>
    <x:sheet xmlns:r="http://schemas.openxmlformats.org/officeDocument/2006/relationships" name="Co-Packing" sheetId="4" r:id="R0d26963a0af64615"/>
    <x:sheet xmlns:r="http://schemas.openxmlformats.org/officeDocument/2006/relationships" name="AU Compliance" sheetId="5" r:id="R9062832adc4d4bf1"/>
    <x:sheet xmlns:r="http://schemas.openxmlformats.org/officeDocument/2006/relationships" name="Scorecard" sheetId="6" r:id="R52886b6ac65e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9">
    <x:font>
      <x:sz val="11"/>
      <x:name val="Carlito"/>
    </x:font>
    <x:font>
      <x:b/>
      <x:sz val="16"/>
      <x:color rgb="FFF1EBDD"/>
      <x:name val="Carlito"/>
    </x:font>
    <x:font>
      <x:b/>
      <x:sz val="11"/>
      <x:color rgb="FFFFFFFF"/>
      <x:name val="Carlito"/>
    </x:font>
    <x:font>
      <x:b/>
      <x:sz val="17"/>
      <x:color rgb="FFF1EBDD"/>
      <x:name val="Carlito"/>
    </x:font>
    <x:font>
      <x:sz val="11"/>
      <x:color rgb="FF17262C"/>
      <x:name val="Carlito"/>
    </x:font>
    <x:font>
      <x:b/>
      <x:sz val="11"/>
      <x:color rgb="FF17262C"/>
      <x:name val="Carlito"/>
    </x:font>
    <x:font>
      <x:b/>
      <x:sz val="10"/>
      <x:color rgb="FF17262C"/>
      <x:name val="Aptos"/>
    </x:font>
    <x:font>
      <x:sz val="10"/>
      <x:color rgb="FF17262C"/>
      <x:name val="Aptos"/>
    </x:font>
    <x:font>
      <x:b/>
      <x:sz val="17"/>
      <x:color rgb="FFF1EBDD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7262C"/>
      </x:patternFill>
    </x:fill>
    <x:fill>
      <x:patternFill patternType="solid">
        <x:fgColor rgb="FF315E6D"/>
      </x:patternFill>
    </x:fill>
    <x:fill>
      <x:patternFill patternType="solid">
        <x:fgColor rgb="FF667063"/>
      </x:patternFill>
    </x:fill>
    <x:fill>
      <x:patternFill patternType="solid">
        <x:fgColor rgb="FFF1EBDD"/>
      </x:patternFill>
    </x:fill>
    <x:fill>
      <x:patternFill patternType="solid">
        <x:fgColor rgb="FFA85D43"/>
      </x:patternFill>
    </x:fill>
  </x:fills>
  <x:borders count="2">
    <x:border/>
    <x:border/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top"/>
    </x:xf>
    <x:xf numFmtId="0" fontId="7" fillId="0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left" vertical="top"/>
    </x:xf>
    <x:xf numFmtId="0" fontId="7" fillId="0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20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200" fontId="7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top" wrapText="1"/>
    </x:xf>
    <x:xf numFmtId="200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left"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left" vertical="top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 applyAlignment="1">
      <x:alignment horizontal="left" vertical="top"/>
    </x:xf>
    <x:xf numFmtId="0" fontId="8" fillId="2" borderId="1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top"/>
    </x:xf>
    <x:xf numFmtId="0" fontId="8" fillId="2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left" vertical="top" wrapText="1"/>
    </x:xf>
    <x:xf numFmtId="0" fontId="8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D8E1D5"/>
        </x:patternFill>
      </x:fill>
    </x:dxf>
    <x:dxf>
      <x:fill>
        <x:patternFill patternType="solid">
          <x:bgColor rgb="FFE9E0C6"/>
        </x:patternFill>
      </x:fill>
    </x:dxf>
    <x:dxf>
      <x:fill>
        <x:patternFill patternType="solid">
          <x:bgColor rgb="FFF3D4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9a74fff424f5f" /><Relationship Type="http://schemas.openxmlformats.org/officeDocument/2006/relationships/theme" Target="/xl/theme/theme1.xml" Id="Rbb868b7181d240b2" /><Relationship Type="http://schemas.openxmlformats.org/officeDocument/2006/relationships/sharedStrings" Target="/xl/sharedStrings.xml" Id="R869d9ce1aeb94a8d" /><Relationship Type="http://schemas.openxmlformats.org/officeDocument/2006/relationships/worksheet" Target="/xl/worksheets/sheet1.xml" Id="R96aca1bbda114233" /><Relationship Type="http://schemas.openxmlformats.org/officeDocument/2006/relationships/worksheet" Target="/xl/worksheets/sheet2.xml" Id="Rafdca2938a994b36" /><Relationship Type="http://schemas.openxmlformats.org/officeDocument/2006/relationships/worksheet" Target="/xl/worksheets/sheet3.xml" Id="Re70721a9e67d4b3b" /><Relationship Type="http://schemas.openxmlformats.org/officeDocument/2006/relationships/worksheet" Target="/xl/worksheets/sheet4.xml" Id="R0d26963a0af64615" /><Relationship Type="http://schemas.openxmlformats.org/officeDocument/2006/relationships/worksheet" Target="/xl/worksheets/sheet5.xml" Id="R9062832adc4d4bf1" /><Relationship Type="http://schemas.openxmlformats.org/officeDocument/2006/relationships/worksheet" Target="/xl/worksheets/sheet6.xml" Id="R52886b6ac65e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22" hidden="0" customWidth="1"/>
    <x:col min="4" max="4" width="22" hidden="0" customWidth="1"/>
    <x:col min="5" max="5" width="28" hidden="0" customWidth="1"/>
    <x:col min="6" max="6" width="44" hidden="0" customWidth="1"/>
    <x:col min="7" max="7" width="44" hidden="0" customWidth="1"/>
    <x:col min="8" max="8" width="32" hidden="0" customWidth="1"/>
    <x:col min="9" max="9" width="18" hidden="0" customWidth="1"/>
    <x:col min="10" max="10" width="22" hidden="0" customWidth="1"/>
    <x:col min="11" max="11" width="30" hidden="0" customWidth="1"/>
    <x:col min="12" max="12" width="38" hidden="0" customWidth="1"/>
    <x:col min="13" max="13" width="34" hidden="0" customWidth="1"/>
    <x:col min="14" max="14" width="22" hidden="0" customWidth="1"/>
    <x:col min="15" max="15" width="10" hidden="0" customWidth="1"/>
    <x:col min="16" max="16" width="18" hidden="0" customWidth="1"/>
    <x:col min="17" max="17" width="45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1" hidden="0" customWidth="1"/>
    <x:col min="23" max="23" width="14" hidden="0" customWidth="1"/>
    <x:col min="24" max="24" width="14" hidden="0" customWidth="1"/>
    <x:col min="25" max="25" width="55" hidden="0" customWidth="1"/>
  </x:cols>
  <x:sheetData>
    <x:row r="1" ht="28" customHeight="1">
      <x:c r="A1" s="111" t="str">
        <x:v>CASA 1569 — Origin Tea Sourcing Pipeline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  <x:c r="U1" s="111"/>
      <x:c r="V1" s="111"/>
      <x:c r="W1" s="111"/>
      <x:c r="X1" s="111"/>
      <x:c r="Y1" s="111"/>
      <x:c r="Z1" s="77"/>
    </x:row>
    <x:row r="2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3">
      <x:c r="A3" s="78" t="str">
        <x:v>Suppliers</x:v>
      </x:c>
      <x:c r="B3" s="78" t="n">
        <x:v>12</x:v>
      </x:c>
      <x:c r="C3" s="78" t="str">
        <x:v>Priority A</x:v>
      </x:c>
      <x:c r="D3" s="78" t="n">
        <x:f>COUNTIF(O7:O18,"A")</x:f>
        <x:v>7</x:v>
      </x:c>
      <x:c r="E3" s="78" t="str">
        <x:v>Founding Routes</x:v>
      </x:c>
      <x:c r="F3" s="78" t="n">
        <x:v>5</x:v>
      </x:c>
      <x:c r="G3" s="78" t="str">
        <x:v>Target Pilot Tea</x:v>
      </x:c>
      <x:c r="H3" s="78" t="str">
        <x:v>≈60 kg total</x:v>
      </x:c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  <x:c r="X3" s="77"/>
      <x:c r="Y3" s="77"/>
      <x:c r="Z3" s="77"/>
    </x:row>
    <x:row r="4">
      <x:c r="A4" s="79" t="str">
        <x:v>Purpose</x:v>
      </x:c>
      <x:c r="B4" s="79" t="str">
        <x:v>Desk-researched sourcing shortlist</x:v>
      </x:c>
      <x:c r="C4" s="79" t="str">
        <x:v>Status</x:v>
      </x:c>
      <x:c r="D4" s="79" t="str">
        <x:v>Pre-contact</x:v>
      </x:c>
      <x:c r="E4" s="79" t="str">
        <x:v>Packing Model</x:v>
      </x:c>
      <x:c r="F4" s="79" t="str">
        <x:v>Bulk origin → AU co-pack</x:v>
      </x:c>
      <x:c r="G4" s="79" t="str">
        <x:v>Founder Gate</x:v>
      </x:c>
      <x:c r="H4" s="79" t="str">
        <x:v>Approve samples + contracts</x:v>
      </x:c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  <x:c r="Z4" s="77"/>
    </x:row>
    <x:row r="5">
      <x:c r="A5" s="77"/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>
      <x:c r="A6" s="66" t="str">
        <x:v>Supplier</x:v>
      </x:c>
      <x:c r="B6" s="66" t="str">
        <x:v>Country</x:v>
      </x:c>
      <x:c r="C6" s="66" t="str">
        <x:v>Region</x:v>
      </x:c>
      <x:c r="D6" s="66" t="str">
        <x:v>Supplier Type</x:v>
      </x:c>
      <x:c r="E6" s="66" t="str">
        <x:v>Best Route Fit</x:v>
      </x:c>
      <x:c r="F6" s="66" t="str">
        <x:v>Why CASA 1569 Should Talk to Them</x:v>
      </x:c>
      <x:c r="G6" s="66" t="str">
        <x:v>Wholesale / Private Label Evidence</x:v>
      </x:c>
      <x:c r="H6" s="66" t="str">
        <x:v>Export Evidence</x:v>
      </x:c>
      <x:c r="I6" s="66" t="str">
        <x:v>Public MOQ</x:v>
      </x:c>
      <x:c r="J6" s="66" t="str">
        <x:v>Private Label Status</x:v>
      </x:c>
      <x:c r="K6" s="66" t="str">
        <x:v>Contact</x:v>
      </x:c>
      <x:c r="L6" s="66" t="str">
        <x:v>Website</x:v>
      </x:c>
      <x:c r="M6" s="66" t="str">
        <x:v>Sample Ask</x:v>
      </x:c>
      <x:c r="N6" s="66" t="str">
        <x:v>Pilot PO Ask</x:v>
      </x:c>
      <x:c r="O6" s="66" t="str">
        <x:v>Priority</x:v>
      </x:c>
      <x:c r="P6" s="66" t="str">
        <x:v>Status</x:v>
      </x:c>
      <x:c r="Q6" s="66" t="str">
        <x:v>Next Action</x:v>
      </x:c>
      <x:c r="R6" s="66" t="str">
        <x:v>Provenance</x:v>
      </x:c>
      <x:c r="S6" s="66" t="str">
        <x:v>Startup Flex</x:v>
      </x:c>
      <x:c r="T6" s="66" t="str">
        <x:v>Export Ready</x:v>
      </x:c>
      <x:c r="U6" s="66" t="str">
        <x:v>PL / Pack Fit</x:v>
      </x:c>
      <x:c r="V6" s="66" t="str">
        <x:v>Story Fit</x:v>
      </x:c>
      <x:c r="W6" s="66" t="str">
        <x:v>Quality Potential</x:v>
      </x:c>
      <x:c r="X6" s="66" t="str">
        <x:v>Weighted Score</x:v>
      </x:c>
      <x:c r="Y6" s="66" t="str">
        <x:v>Source URL</x:v>
      </x:c>
      <x:c r="Z6" s="77"/>
    </x:row>
    <x:row r="7">
      <x:c r="A7" s="67" t="str">
        <x:v>Plantações Chá Gorreana</x:v>
      </x:c>
      <x:c r="B7" s="67" t="str">
        <x:v>Portugal</x:v>
      </x:c>
      <x:c r="C7" s="67" t="str">
        <x:v>São Miguel, Açores</x:v>
      </x:c>
      <x:c r="D7" s="67" t="str">
        <x:v>Estate + factory</x:v>
      </x:c>
      <x:c r="E7" s="67" t="str">
        <x:v>ROTA 001 — São Miguel Black</x:v>
      </x:c>
      <x:c r="F7" s="67" t="str">
        <x:v>Ideal flagship provenance: direct Azorean tea, vertically integrated, major heritage story.</x:v>
      </x:c>
      <x:c r="G7" s="67" t="str">
        <x:v>Actively seeking importers/distributors/commercial partners in 2026; bulk/private-label rights must be negotiated.</x:v>
      </x:c>
      <x:c r="H7" s="67" t="str">
        <x:v>Longstanding international exporter; 2026 EEN commercial-partner offer.</x:v>
      </x:c>
      <x:c r="I7" s="67" t="str">
        <x:v>Not public</x:v>
      </x:c>
      <x:c r="J7" s="67" t="str">
        <x:v>UNKNOWN — key negotiation point</x:v>
      </x:c>
      <x:c r="K7" s="67" t="str">
        <x:v>gorreanazores@gmail.com</x:v>
      </x:c>
      <x:c r="L7" s="67" t="str">
        <x:v>https://gorreana.pt/en/</x:v>
      </x:c>
      <x:c r="M7" s="67" t="str">
        <x:v>Orange Pekoe, Pekoe and Broken Leaf; 100–250g each</x:v>
      </x:c>
      <x:c r="N7" s="67" t="str">
        <x:v>20 kg flagship pilot</x:v>
      </x:c>
      <x:c r="O7" s="67" t="str">
        <x:v>A</x:v>
      </x:c>
      <x:c r="P7" s="67" t="str">
        <x:v>Research</x:v>
      </x:c>
      <x:c r="Q7" s="67" t="str">
        <x:v>Ask for direct bulk supply, Casa 1569 packing rights, lot traceability and Australia terms</x:v>
      </x:c>
      <x:c r="R7" s="67" t="n">
        <x:v>5</x:v>
      </x:c>
      <x:c r="S7" s="67" t="n">
        <x:v>3</x:v>
      </x:c>
      <x:c r="T7" s="67" t="n">
        <x:v>5</x:v>
      </x:c>
      <x:c r="U7" s="67" t="n">
        <x:v>2</x:v>
      </x:c>
      <x:c r="V7" s="67" t="n">
        <x:v>5</x:v>
      </x:c>
      <x:c r="W7" s="67" t="n">
        <x:v>5</x:v>
      </x:c>
      <x:c r="X7" s="68" t="n">
        <x:f>(R7*Scorecard!$B$4+S7*Scorecard!$B$5+T7*Scorecard!$B$6+U7*Scorecard!$B$7+V7*Scorecard!$B$8+W7*Scorecard!$B$9)</x:f>
        <x:v>4.4</x:v>
      </x:c>
      <x:c r="Y7" s="67" t="str">
        <x:v>https://een.ec.europa.eu/partnering-opportunities/europes-oldest-tea-producer-seeking-commercial-agents-distributors-and</x:v>
      </x:c>
      <x:c r="Z7" s="77"/>
    </x:row>
    <x:row r="8">
      <x:c r="A8" s="67" t="str">
        <x:v>Fábrica de Chá Porto Formoso</x:v>
      </x:c>
      <x:c r="B8" s="67" t="str">
        <x:v>Portugal</x:v>
      </x:c>
      <x:c r="C8" s="67" t="str">
        <x:v>São Miguel, Açores</x:v>
      </x:c>
      <x:c r="D8" s="67" t="str">
        <x:v>Estate + factory</x:v>
      </x:c>
      <x:c r="E8" s="67" t="str">
        <x:v>ROTA 001 — São Miguel Black (backup/alternative)</x:v>
      </x:c>
      <x:c r="F8" s="67" t="str">
        <x:v>Second genuine São Miguel producer; strategically important alternative if Gorreana will not supply bulk/private label.</x:v>
      </x:c>
      <x:c r="G8" s="67" t="str">
        <x:v>Factory and tea plantation operating on São Miguel; wholesale/private-label terms not publicly stated.</x:v>
      </x:c>
      <x:c r="H8" s="67" t="str">
        <x:v>Export status needs direct confirmation.</x:v>
      </x:c>
      <x:c r="I8" s="67" t="str">
        <x:v>Not public</x:v>
      </x:c>
      <x:c r="J8" s="67" t="str">
        <x:v>UNKNOWN</x:v>
      </x:c>
      <x:c r="K8" s="67" t="str">
        <x:v>geral@chaformoso.com</x:v>
      </x:c>
      <x:c r="L8" s="67" t="str">
        <x:v>https://chaformoso.com/</x:v>
      </x:c>
      <x:c r="M8" s="67" t="str">
        <x:v>All pure black/green teas; 100–250g each</x:v>
      </x:c>
      <x:c r="N8" s="67" t="str">
        <x:v>10–20 kg pilot</x:v>
      </x:c>
      <x:c r="O8" s="67" t="str">
        <x:v>A</x:v>
      </x:c>
      <x:c r="P8" s="67" t="str">
        <x:v>Research</x:v>
      </x:c>
      <x:c r="Q8" s="67" t="str">
        <x:v>Request wholesale/export/private-label terms and current harvest samples</x:v>
      </x:c>
      <x:c r="R8" s="67" t="n">
        <x:v>5</x:v>
      </x:c>
      <x:c r="S8" s="67" t="n">
        <x:v>3</x:v>
      </x:c>
      <x:c r="T8" s="67" t="n">
        <x:v>2</x:v>
      </x:c>
      <x:c r="U8" s="67" t="n">
        <x:v>2</x:v>
      </x:c>
      <x:c r="V8" s="67" t="n">
        <x:v>5</x:v>
      </x:c>
      <x:c r="W8" s="67" t="n">
        <x:v>4</x:v>
      </x:c>
      <x:c r="X8" s="68" t="n">
        <x:f>(R8*Scorecard!$B$4+S8*Scorecard!$B$5+T8*Scorecard!$B$6+U8*Scorecard!$B$7+V8*Scorecard!$B$8+W8*Scorecard!$B$9)</x:f>
        <x:v>3.75</x:v>
      </x:c>
      <x:c r="Y8" s="67" t="str">
        <x:v>https://turismo.azores.gov.pt/en/pin/fabrica-de-cha-porto-formoso/</x:v>
      </x:c>
      <x:c r="Z8" s="77"/>
    </x:row>
    <x:row r="9">
      <x:c r="A9" s="67" t="str">
        <x:v>Wuyi Origin</x:v>
      </x:c>
      <x:c r="B9" s="67" t="str">
        <x:v>China</x:v>
      </x:c>
      <x:c r="C9" s="67" t="str">
        <x:v>Wuyishan, Fujian</x:v>
      </x:c>
      <x:c r="D9" s="67" t="str">
        <x:v>Family producer</x:v>
      </x:c>
      <x:c r="E9" s="67" t="str">
        <x:v>ROTA 002 — Wuyi / Fujian Oolong</x:v>
      </x:c>
      <x:c r="F9" s="67" t="str">
        <x:v>Direct family production, named origin, artisan roasting, strong founder story and flexible startup positioning.</x:v>
      </x:c>
      <x:c r="G9" s="67" t="str">
        <x:v>Dedicated wholesale program; states low minimums and global shipping.</x:v>
      </x:c>
      <x:c r="H9" s="67" t="str">
        <x:v>Ships wholesale globally.</x:v>
      </x:c>
      <x:c r="I9" s="67" t="str">
        <x:v>Low minimums stated; exact MOQ by quote</x:v>
      </x:c>
      <x:c r="J9" s="67" t="str">
        <x:v>Wholesale; Casa-branded packing to confirm</x:v>
      </x:c>
      <x:c r="K9" s="67" t="str">
        <x:v>Wholesale form / Cindy</x:v>
      </x:c>
      <x:c r="L9" s="67" t="str">
        <x:v>https://www.wuyiorigin.com/pages/wholesale</x:v>
      </x:c>
      <x:c r="M9" s="67" t="str">
        <x:v>Da Hong Pao / Rou Gui / Shui Xian / Lapsang; 50–100g each</x:v>
      </x:c>
      <x:c r="N9" s="67" t="str">
        <x:v>5–10 kg pilot</x:v>
      </x:c>
      <x:c r="O9" s="67" t="str">
        <x:v>A</x:v>
      </x:c>
      <x:c r="P9" s="67" t="str">
        <x:v>Research</x:v>
      </x:c>
      <x:c r="Q9" s="67" t="str">
        <x:v>Request wholesale catalogue, residue/COA documents and Australia shipping options</x:v>
      </x:c>
      <x:c r="R9" s="67" t="n">
        <x:v>5</x:v>
      </x:c>
      <x:c r="S9" s="67" t="n">
        <x:v>5</x:v>
      </x:c>
      <x:c r="T9" s="67" t="n">
        <x:v>4</x:v>
      </x:c>
      <x:c r="U9" s="67" t="n">
        <x:v>3</x:v>
      </x:c>
      <x:c r="V9" s="67" t="n">
        <x:v>5</x:v>
      </x:c>
      <x:c r="W9" s="67" t="n">
        <x:v>5</x:v>
      </x:c>
      <x:c r="X9" s="68" t="n">
        <x:f>(R9*Scorecard!$B$4+S9*Scorecard!$B$5+T9*Scorecard!$B$6+U9*Scorecard!$B$7+V9*Scorecard!$B$8+W9*Scorecard!$B$9)</x:f>
        <x:v>4.65</x:v>
      </x:c>
      <x:c r="Y9" s="67" t="str">
        <x:v>https://www.wuyiorigin.com/pages/wholesale</x:v>
      </x:c>
      <x:c r="Z9" s="77"/>
    </x:row>
    <x:row r="10">
      <x:c r="A10" s="67" t="str">
        <x:v>Fujian Tea Import &amp; Export Co., Ltd.</x:v>
      </x:c>
      <x:c r="B10" s="67" t="str">
        <x:v>China</x:v>
      </x:c>
      <x:c r="C10" s="67" t="str">
        <x:v>Fujian</x:v>
      </x:c>
      <x:c r="D10" s="67" t="str">
        <x:v>Integrated exporter / processor</x:v>
      </x:c>
      <x:c r="E10" s="67" t="str">
        <x:v>ROTA 002 — Fujian (scale/backup)</x:v>
      </x:c>
      <x:c r="F10" s="67" t="str">
        <x:v>Large established exporter with own gardens/factory, specialty oolong/white/jasmine and Australia export history.</x:v>
      </x:c>
      <x:c r="G10" s="67" t="str">
        <x:v>Can pack bulk, bagged, tins and teabags; broad export program.</x:v>
      </x:c>
      <x:c r="H10" s="67" t="str">
        <x:v>Products sold in 60+ countries/regions including Australia.</x:v>
      </x:c>
      <x:c r="I10" s="67" t="str">
        <x:v>Not public</x:v>
      </x:c>
      <x:c r="J10" s="67" t="str">
        <x:v>Packing capability proven; Casa 1569 private label to negotiate</x:v>
      </x:c>
      <x:c r="K10" s="67" t="str">
        <x:v>mengxiaohui@cofco.com</x:v>
      </x:c>
      <x:c r="L10" s="67" t="str">
        <x:v>https://www.fujian-tea.com.cn/</x:v>
      </x:c>
      <x:c r="M10" s="67" t="str">
        <x:v>Premium Wuyi/Fujian oolong + white tea; named-lot samples</x:v>
      </x:c>
      <x:c r="N10" s="67" t="str">
        <x:v>10–25 kg pilot</x:v>
      </x:c>
      <x:c r="O10" s="67" t="str">
        <x:v>B</x:v>
      </x:c>
      <x:c r="P10" s="67" t="str">
        <x:v>Research</x:v>
      </x:c>
      <x:c r="Q10" s="67" t="str">
        <x:v>Ask for small-batch premium catalogue, MOQ, named garden/lot traceability and OEM terms</x:v>
      </x:c>
      <x:c r="R10" s="67" t="n">
        <x:v>4</x:v>
      </x:c>
      <x:c r="S10" s="67" t="n">
        <x:v>3</x:v>
      </x:c>
      <x:c r="T10" s="67" t="n">
        <x:v>5</x:v>
      </x:c>
      <x:c r="U10" s="67" t="n">
        <x:v>4</x:v>
      </x:c>
      <x:c r="V10" s="67" t="n">
        <x:v>4</x:v>
      </x:c>
      <x:c r="W10" s="67" t="n">
        <x:v>4</x:v>
      </x:c>
      <x:c r="X10" s="68" t="n">
        <x:f>(R10*Scorecard!$B$4+S10*Scorecard!$B$5+T10*Scorecard!$B$6+U10*Scorecard!$B$7+V10*Scorecard!$B$8+W10*Scorecard!$B$9)</x:f>
        <x:v>4</x:v>
      </x:c>
      <x:c r="Y10" s="67" t="str">
        <x:v>https://www.fujian-tea.com.cn/company-prof.html</x:v>
      </x:c>
      <x:c r="Z10" s="77"/>
    </x:row>
    <x:row r="11">
      <x:c r="A11" s="67" t="str">
        <x:v>Tea Promoters India</x:v>
      </x:c>
      <x:c r="B11" s="67" t="str">
        <x:v>India</x:v>
      </x:c>
      <x:c r="C11" s="67" t="str">
        <x:v>Darjeeling / Assam / Dooars / South India</x:v>
      </x:c>
      <x:c r="D11" s="67" t="str">
        <x:v>Grower + exporter + co-packer</x:v>
      </x:c>
      <x:c r="E11" s="67" t="str">
        <x:v>ROTA 003 — Darjeeling; ROTA 006 — Assam</x:v>
      </x:c>
      <x:c r="F11" s="67" t="str">
        <x:v>Excellent CASA fit: owns/operates gardens, organic/biodynamic/Fairtrade orientation, traceability and custom packing.</x:v>
      </x:c>
      <x:c r="G11" s="67" t="str">
        <x:v>Offers co-packing, packaging design and custom orders.</x:v>
      </x:c>
      <x:c r="H11" s="67" t="str">
        <x:v>Listed by Tea Board India among Top India Tea Exporters 2025–26.</x:v>
      </x:c>
      <x:c r="I11" s="67" t="str">
        <x:v>Not public</x:v>
      </x:c>
      <x:c r="J11" s="67" t="str">
        <x:v>YES — co-packing/custom orders</x:v>
      </x:c>
      <x:c r="K11" s="67" t="str">
        <x:v>tpi@teapromoters.in</x:v>
      </x:c>
      <x:c r="L11" s="67" t="str">
        <x:v>https://www.teapromoters.com/</x:v>
      </x:c>
      <x:c r="M11" s="67" t="str">
        <x:v>Darjeeling First Flush + Assam orthodox; named estate lots; 100–250g</x:v>
      </x:c>
      <x:c r="N11" s="67" t="str">
        <x:v>10 kg per selected lot</x:v>
      </x:c>
      <x:c r="O11" s="67" t="str">
        <x:v>A</x:v>
      </x:c>
      <x:c r="P11" s="67" t="str">
        <x:v>Research</x:v>
      </x:c>
      <x:c r="Q11" s="67" t="str">
        <x:v>Request 2026/27 seasonal sample list, MOQ, FOB pricing, certifications and lot reservation terms</x:v>
      </x:c>
      <x:c r="R11" s="67" t="n">
        <x:v>5</x:v>
      </x:c>
      <x:c r="S11" s="67" t="n">
        <x:v>4</x:v>
      </x:c>
      <x:c r="T11" s="67" t="n">
        <x:v>5</x:v>
      </x:c>
      <x:c r="U11" s="67" t="n">
        <x:v>5</x:v>
      </x:c>
      <x:c r="V11" s="67" t="n">
        <x:v>5</x:v>
      </x:c>
      <x:c r="W11" s="67" t="n">
        <x:v>5</x:v>
      </x:c>
      <x:c r="X11" s="68" t="n">
        <x:f>(R11*Scorecard!$B$4+S11*Scorecard!$B$5+T11*Scorecard!$B$6+U11*Scorecard!$B$7+V11*Scorecard!$B$8+W11*Scorecard!$B$9)</x:f>
        <x:v>4.85</x:v>
      </x:c>
      <x:c r="Y11" s="67" t="str">
        <x:v>https://www.teapromoters.com/</x:v>
      </x:c>
      <x:c r="Z11" s="77"/>
    </x:row>
    <x:row r="12">
      <x:c r="A12" s="67" t="str">
        <x:v>Glenburn Fine Tea</x:v>
      </x:c>
      <x:c r="B12" s="67" t="str">
        <x:v>India</x:v>
      </x:c>
      <x:c r="C12" s="67" t="str">
        <x:v>Darjeeling</x:v>
      </x:c>
      <x:c r="D12" s="67" t="str">
        <x:v>Estate / tea house</x:v>
      </x:c>
      <x:c r="E12" s="67" t="str">
        <x:v>ROTA 003 — Darjeeling First Flush</x:v>
      </x:c>
      <x:c r="F12" s="67" t="str">
        <x:v>Strong single-estate style story and direct wholesale channel; useful benchmark against TPI.</x:v>
      </x:c>
      <x:c r="G12" s="67" t="str">
        <x:v>Official wholesale/bulk enquiry program.</x:v>
      </x:c>
      <x:c r="H12" s="67" t="str">
        <x:v>International wholesale capability implied; destination/export details to confirm.</x:v>
      </x:c>
      <x:c r="I12" s="67" t="str">
        <x:v>Not public</x:v>
      </x:c>
      <x:c r="J12" s="67" t="str">
        <x:v>Bulk/wholesale; private label to confirm</x:v>
      </x:c>
      <x:c r="K12" s="67" t="str">
        <x:v>info@GlenburnTeaDirect.com</x:v>
      </x:c>
      <x:c r="L12" s="67" t="str">
        <x:v>https://glenburnfinetea.in/pages/wholesale</x:v>
      </x:c>
      <x:c r="M12" s="67" t="str">
        <x:v>First Flush and Second Flush estate lots; 100–250g</x:v>
      </x:c>
      <x:c r="N12" s="67" t="str">
        <x:v>5–10 kg pilot</x:v>
      </x:c>
      <x:c r="O12" s="67" t="str">
        <x:v>B</x:v>
      </x:c>
      <x:c r="P12" s="67" t="str">
        <x:v>Research</x:v>
      </x:c>
      <x:c r="Q12" s="67" t="str">
        <x:v>Ask for current estate lots, wholesale MOQ and unbranded bulk export to Australia</x:v>
      </x:c>
      <x:c r="R12" s="67" t="n">
        <x:v>5</x:v>
      </x:c>
      <x:c r="S12" s="67" t="n">
        <x:v>3</x:v>
      </x:c>
      <x:c r="T12" s="67" t="n">
        <x:v>3</x:v>
      </x:c>
      <x:c r="U12" s="67" t="n">
        <x:v>2</x:v>
      </x:c>
      <x:c r="V12" s="67" t="n">
        <x:v>5</x:v>
      </x:c>
      <x:c r="W12" s="67" t="n">
        <x:v>5</x:v>
      </x:c>
      <x:c r="X12" s="68" t="n">
        <x:f>(R12*Scorecard!$B$4+S12*Scorecard!$B$5+T12*Scorecard!$B$6+U12*Scorecard!$B$7+V12*Scorecard!$B$8+W12*Scorecard!$B$9)</x:f>
        <x:v>4.1</x:v>
      </x:c>
      <x:c r="Y12" s="67" t="str">
        <x:v>https://glenburnfinetea.in/pages/wholesale</x:v>
      </x:c>
      <x:c r="Z12" s="77"/>
    </x:row>
    <x:row r="13">
      <x:c r="A13" s="67" t="str">
        <x:v>Halmari Tea Estate / Amarawati Tea</x:v>
      </x:c>
      <x:c r="B13" s="67" t="str">
        <x:v>India</x:v>
      </x:c>
      <x:c r="C13" s="67" t="str">
        <x:v>Assam</x:v>
      </x:c>
      <x:c r="D13" s="67" t="str">
        <x:v>Estate + exporter</x:v>
      </x:c>
      <x:c r="E13" s="67" t="str">
        <x:v>ROTA 006 — Assam Orthodox</x:v>
      </x:c>
      <x:c r="F13" s="67" t="str">
        <x:v>Strong direct Assam estate option for a future repeat-purchase breakfast/orthodox tea.</x:v>
      </x:c>
      <x:c r="G13" s="67" t="str">
        <x:v>Overseas sales contact published; worldwide delivery.</x:v>
      </x:c>
      <x:c r="H13" s="67" t="str">
        <x:v>Dedicated overseas sales contact.</x:v>
      </x:c>
      <x:c r="I13" s="67" t="str">
        <x:v>Not public</x:v>
      </x:c>
      <x:c r="J13" s="67" t="str">
        <x:v>Private label to confirm</x:v>
      </x:c>
      <x:c r="K13" s="67" t="str">
        <x:v>msharma@amarawatitea.com</x:v>
      </x:c>
      <x:c r="L13" s="67" t="str">
        <x:v>https://www.halmaritea.com/contact-us/</x:v>
      </x:c>
      <x:c r="M13" s="67" t="str">
        <x:v>Orthodox Assam + golden tippy selections; 100–250g</x:v>
      </x:c>
      <x:c r="N13" s="67" t="str">
        <x:v>10 kg pilot</x:v>
      </x:c>
      <x:c r="O13" s="67" t="str">
        <x:v>B</x:v>
      </x:c>
      <x:c r="P13" s="67" t="str">
        <x:v>Research</x:v>
      </x:c>
      <x:c r="Q13" s="67" t="str">
        <x:v>Request wholesale export pricing, current-season orthodox lots and residue/COA documents</x:v>
      </x:c>
      <x:c r="R13" s="67" t="n">
        <x:v>5</x:v>
      </x:c>
      <x:c r="S13" s="67" t="n">
        <x:v>3</x:v>
      </x:c>
      <x:c r="T13" s="67" t="n">
        <x:v>4</x:v>
      </x:c>
      <x:c r="U13" s="67" t="n">
        <x:v>2</x:v>
      </x:c>
      <x:c r="V13" s="67" t="n">
        <x:v>4</x:v>
      </x:c>
      <x:c r="W13" s="67" t="n">
        <x:v>5</x:v>
      </x:c>
      <x:c r="X13" s="68" t="n">
        <x:f>(R13*Scorecard!$B$4+S13*Scorecard!$B$5+T13*Scorecard!$B$6+U13*Scorecard!$B$7+V13*Scorecard!$B$8+W13*Scorecard!$B$9)</x:f>
        <x:v>4.1</x:v>
      </x:c>
      <x:c r="Y13" s="67" t="str">
        <x:v>https://www.halmaritea.com/contact-us/</x:v>
      </x:c>
      <x:c r="Z13" s="77"/>
    </x:row>
    <x:row r="14">
      <x:c r="A14" s="67" t="str">
        <x:v>Empire Teas</x:v>
      </x:c>
      <x:c r="B14" s="67" t="str">
        <x:v>Sri Lanka</x:v>
      </x:c>
      <x:c r="C14" s="67" t="str">
        <x:v>Colombo / Ceylon origins</x:v>
      </x:c>
      <x:c r="D14" s="67" t="str">
        <x:v>Exporter + private-label manufacturer</x:v>
      </x:c>
      <x:c r="E14" s="67" t="str">
        <x:v>ROTA 004 — Ceylon High Grown</x:v>
      </x:c>
      <x:c r="F14" s="67" t="str">
        <x:v>Best operational fit for Casa-branded Ceylon: source-to-shipment private label, bulk and custom packaging.</x:v>
      </x:c>
      <x:c r="G14" s="67" t="str">
        <x:v>Explicit private-label, bulk sourcing, packaging and shipment services.</x:v>
      </x:c>
      <x:c r="H14" s="67" t="str">
        <x:v>Global tea solutions/export logistics handled in-house.</x:v>
      </x:c>
      <x:c r="I14" s="67" t="str">
        <x:v>Not public</x:v>
      </x:c>
      <x:c r="J14" s="67" t="str">
        <x:v>YES</x:v>
      </x:c>
      <x:c r="K14" s="67" t="str">
        <x:v>info@empireteas.com</x:v>
      </x:c>
      <x:c r="L14" s="67" t="str">
        <x:v>https://www.empireteas.com/</x:v>
      </x:c>
      <x:c r="M14" s="67" t="str">
        <x:v>Named-estate Nuwara Eliya / Dimbula high-grown lots; 100–250g</x:v>
      </x:c>
      <x:c r="N14" s="67" t="str">
        <x:v>10–20 kg pilot</x:v>
      </x:c>
      <x:c r="O14" s="67" t="str">
        <x:v>A</x:v>
      </x:c>
      <x:c r="P14" s="67" t="str">
        <x:v>Research</x:v>
      </x:c>
      <x:c r="Q14" s="67" t="str">
        <x:v>Require named estate/lot provenance, not anonymous blend; ask MOQ, FOB and Casa-branded options</x:v>
      </x:c>
      <x:c r="R14" s="67" t="n">
        <x:v>4</x:v>
      </x:c>
      <x:c r="S14" s="67" t="n">
        <x:v>4</x:v>
      </x:c>
      <x:c r="T14" s="67" t="n">
        <x:v>5</x:v>
      </x:c>
      <x:c r="U14" s="67" t="n">
        <x:v>5</x:v>
      </x:c>
      <x:c r="V14" s="67" t="n">
        <x:v>4</x:v>
      </x:c>
      <x:c r="W14" s="67" t="n">
        <x:v>5</x:v>
      </x:c>
      <x:c r="X14" s="68" t="n">
        <x:f>(R14*Scorecard!$B$4+S14*Scorecard!$B$5+T14*Scorecard!$B$6+U14*Scorecard!$B$7+V14*Scorecard!$B$8+W14*Scorecard!$B$9)</x:f>
        <x:v>4.45</x:v>
      </x:c>
      <x:c r="Y14" s="67" t="str">
        <x:v>https://www.empireteas.com/services/private-labels/</x:v>
      </x:c>
      <x:c r="Z14" s="77"/>
    </x:row>
    <x:row r="15">
      <x:c r="A15" s="67" t="str">
        <x:v>Mlesna Ceylon</x:v>
      </x:c>
      <x:c r="B15" s="67" t="str">
        <x:v>Sri Lanka</x:v>
      </x:c>
      <x:c r="C15" s="67" t="str">
        <x:v>Colombo / Ceylon origins</x:v>
      </x:c>
      <x:c r="D15" s="67" t="str">
        <x:v>Specialty exporter / packer</x:v>
      </x:c>
      <x:c r="E15" s="67" t="str">
        <x:v>ROTA 004 — Ceylon (benchmark/backup)</x:v>
      </x:c>
      <x:c r="F15" s="67" t="str">
        <x:v>Long export history including Australia and exceptional packaging capability; useful pricing/quality benchmark.</x:v>
      </x:c>
      <x:c r="G15" s="67" t="str">
        <x:v>Extensive specialty tea and packaging formats; private-label service not confirmed on public page.</x:v>
      </x:c>
      <x:c r="H15" s="67" t="str">
        <x:v>Exports to 50+ countries including Australia.</x:v>
      </x:c>
      <x:c r="I15" s="67" t="str">
        <x:v>Not public</x:v>
      </x:c>
      <x:c r="J15" s="67" t="str">
        <x:v>UNKNOWN</x:v>
      </x:c>
      <x:c r="K15" s="67" t="str">
        <x:v>mlesna@mlesnateas.com</x:v>
      </x:c>
      <x:c r="L15" s="67" t="str">
        <x:v>https://www.mlesnateas.lk/</x:v>
      </x:c>
      <x:c r="M15" s="67" t="str">
        <x:v>High-grown loose leaf teas; named-estate options if available</x:v>
      </x:c>
      <x:c r="N15" s="67" t="str">
        <x:v>10–20 kg pilot</x:v>
      </x:c>
      <x:c r="O15" s="67" t="str">
        <x:v>B</x:v>
      </x:c>
      <x:c r="P15" s="67" t="str">
        <x:v>Research</x:v>
      </x:c>
      <x:c r="Q15" s="67" t="str">
        <x:v>Ask specifically about OEM/private label, named-estate supply and low-volume startup MOQ</x:v>
      </x:c>
      <x:c r="R15" s="67" t="n">
        <x:v>3</x:v>
      </x:c>
      <x:c r="S15" s="67" t="n">
        <x:v>3</x:v>
      </x:c>
      <x:c r="T15" s="67" t="n">
        <x:v>5</x:v>
      </x:c>
      <x:c r="U15" s="67" t="n">
        <x:v>3</x:v>
      </x:c>
      <x:c r="V15" s="67" t="n">
        <x:v>4</x:v>
      </x:c>
      <x:c r="W15" s="67" t="n">
        <x:v>4</x:v>
      </x:c>
      <x:c r="X15" s="68" t="n">
        <x:f>(R15*Scorecard!$B$4+S15*Scorecard!$B$5+T15*Scorecard!$B$6+U15*Scorecard!$B$7+V15*Scorecard!$B$8+W15*Scorecard!$B$9)</x:f>
        <x:v>3.6500000000000004</x:v>
      </x:c>
      <x:c r="Y15" s="67" t="str">
        <x:v>https://www.mlesnateas.lk/</x:v>
      </x:c>
      <x:c r="Z15" s="77"/>
    </x:row>
    <x:row r="16">
      <x:c r="A16" s="67" t="str">
        <x:v>Kyoto Obubu Tea Farms</x:v>
      </x:c>
      <x:c r="B16" s="67" t="str">
        <x:v>Japan</x:v>
      </x:c>
      <x:c r="C16" s="67" t="str">
        <x:v>Wazuka, Kyoto</x:v>
      </x:c>
      <x:c r="D16" s="67" t="str">
        <x:v>Direct farm + wholesale</x:v>
      </x:c>
      <x:c r="E16" s="67" t="str">
        <x:v>ROTA 005 — Wazuka Sencha</x:v>
      </x:c>
      <x:c r="F16" s="67" t="str">
        <x:v>Near-perfect origin-led partner: direct farmer relationship, English wholesale support, transparent cultivar/harvest data.</x:v>
      </x:c>
      <x:c r="G16" s="67" t="str">
        <x:v>Dedicated wholesale program; no-label 25g/100g options and 1kg bulk.</x:v>
      </x:c>
      <x:c r="H16" s="67" t="str">
        <x:v>Ships tea internationally; MAFF export portal highlights Obubu.</x:v>
      </x:c>
      <x:c r="I16" s="67" t="str">
        <x:v>Packing available from 25g; bulk 1kg; exact order minimum by account</x:v>
      </x:c>
      <x:c r="J16" s="67" t="str">
        <x:v>No-label options make Casa packing feasible</x:v>
      </x:c>
      <x:c r="K16" s="67" t="str">
        <x:v>obubu@obubu.com</x:v>
      </x:c>
      <x:c r="L16" s="67" t="str">
        <x:v>https://wholesale.obubutea.com/</x:v>
      </x:c>
      <x:c r="M16" s="67" t="str">
        <x:v>Sencha of Brightness + 2 contrasting sencha lots; 50–100g</x:v>
      </x:c>
      <x:c r="N16" s="67" t="str">
        <x:v>5–10 kg pilot</x:v>
      </x:c>
      <x:c r="O16" s="67" t="str">
        <x:v>A</x:v>
      </x:c>
      <x:c r="P16" s="67" t="str">
        <x:v>Research</x:v>
      </x:c>
      <x:c r="Q16" s="67" t="str">
        <x:v>Register wholesale account; request price list and 2026 harvest availability for Australia</x:v>
      </x:c>
      <x:c r="R16" s="67" t="n">
        <x:v>5</x:v>
      </x:c>
      <x:c r="S16" s="67" t="n">
        <x:v>5</x:v>
      </x:c>
      <x:c r="T16" s="67" t="n">
        <x:v>5</x:v>
      </x:c>
      <x:c r="U16" s="67" t="n">
        <x:v>4</x:v>
      </x:c>
      <x:c r="V16" s="67" t="n">
        <x:v>5</x:v>
      </x:c>
      <x:c r="W16" s="67" t="n">
        <x:v>5</x:v>
      </x:c>
      <x:c r="X16" s="68" t="n">
        <x:f>(R16*Scorecard!$B$4+S16*Scorecard!$B$5+T16*Scorecard!$B$6+U16*Scorecard!$B$7+V16*Scorecard!$B$8+W16*Scorecard!$B$9)</x:f>
        <x:v>4.9</x:v>
      </x:c>
      <x:c r="Y16" s="67" t="str">
        <x:v>https://wholesale.obubutea.com/about-us/</x:v>
      </x:c>
      <x:c r="Z16" s="77"/>
    </x:row>
    <x:row r="17">
      <x:c r="A17" s="67" t="str">
        <x:v>Sugimoto Tea Company</x:v>
      </x:c>
      <x:c r="B17" s="67" t="str">
        <x:v>Japan</x:v>
      </x:c>
      <x:c r="C17" s="67" t="str">
        <x:v>Japan</x:v>
      </x:c>
      <x:c r="D17" s="67" t="str">
        <x:v>Producer + private-label manufacturer</x:v>
      </x:c>
      <x:c r="E17" s="67" t="str">
        <x:v>ROTA 005 — Japanese Green / Matcha (scale option)</x:v>
      </x:c>
      <x:c r="F17" s="67" t="str">
        <x:v>Strong private-label capability, certified facility and direct-producer positioning; ideal if Casa later expands into matcha.</x:v>
      </x:c>
      <x:c r="G17" s="67" t="str">
        <x:v>Explicit private-label program with multiple packaging formats and in-house blending.</x:v>
      </x:c>
      <x:c r="H17" s="67" t="str">
        <x:v>International/private-label logistics supported through wholesale operation.</x:v>
      </x:c>
      <x:c r="I17" s="67" t="str">
        <x:v>Not public</x:v>
      </x:c>
      <x:c r="J17" s="67" t="str">
        <x:v>YES</x:v>
      </x:c>
      <x:c r="K17" s="67" t="str">
        <x:v>Private label enquiry</x:v>
      </x:c>
      <x:c r="L17" s="67" t="str">
        <x:v>https://wholesale.sugimotousa.com/pages/private-label</x:v>
      </x:c>
      <x:c r="M17" s="67" t="str">
        <x:v>Premium sencha + matcha grades; sample set</x:v>
      </x:c>
      <x:c r="N17" s="67" t="str">
        <x:v>10–25 kg depending SKU</x:v>
      </x:c>
      <x:c r="O17" s="67" t="str">
        <x:v>B</x:v>
      </x:c>
      <x:c r="P17" s="67" t="str">
        <x:v>Research</x:v>
      </x:c>
      <x:c r="Q17" s="67" t="str">
        <x:v>Request Australia terms, MOQ, sencha origin/cultivar detail and private-label pricing</x:v>
      </x:c>
      <x:c r="R17" s="67" t="n">
        <x:v>4</x:v>
      </x:c>
      <x:c r="S17" s="67" t="n">
        <x:v>4</x:v>
      </x:c>
      <x:c r="T17" s="67" t="n">
        <x:v>5</x:v>
      </x:c>
      <x:c r="U17" s="67" t="n">
        <x:v>5</x:v>
      </x:c>
      <x:c r="V17" s="67" t="n">
        <x:v>4</x:v>
      </x:c>
      <x:c r="W17" s="67" t="n">
        <x:v>5</x:v>
      </x:c>
      <x:c r="X17" s="68" t="n">
        <x:f>(R17*Scorecard!$B$4+S17*Scorecard!$B$5+T17*Scorecard!$B$6+U17*Scorecard!$B$7+V17*Scorecard!$B$8+W17*Scorecard!$B$9)</x:f>
        <x:v>4.45</x:v>
      </x:c>
      <x:c r="Y17" s="67" t="str">
        <x:v>https://wholesale.sugimotousa.com/pages/private-label</x:v>
      </x:c>
      <x:c r="Z17" s="77"/>
    </x:row>
    <x:row r="18">
      <x:c r="A18" s="67" t="str">
        <x:v>Australian Tea Masters</x:v>
      </x:c>
      <x:c r="B18" s="67" t="str">
        <x:v>Australia</x:v>
      </x:c>
      <x:c r="C18" s="67" t="str">
        <x:v>Geelong, Victoria</x:v>
      </x:c>
      <x:c r="D18" s="67" t="str">
        <x:v>Importer + co-packer + contract manufacturer</x:v>
      </x:c>
      <x:c r="E18" s="67" t="str">
        <x:v>ALL ROUTES — Australian packing partner</x:v>
      </x:c>
      <x:c r="F18" s="67" t="str">
        <x:v>Potentially removes operational burden: can import, pack client tea, loose-leaf pack, tins, pouches and contract manufacture.</x:v>
      </x:c>
      <x:c r="G18" s="67" t="str">
        <x:v>Explicit contract manufacturing, private label, loose-leaf packing and client-supplied packaging support.</x:v>
      </x:c>
      <x:c r="H18" s="67" t="str">
        <x:v>Australian Trusted Trader; imports tea and offers packing services.</x:v>
      </x:c>
      <x:c r="I18" s="67" t="str">
        <x:v>250g minimum on own blends; custom imported client tea terms by quote</x:v>
      </x:c>
      <x:c r="J18" s="67" t="str">
        <x:v>YES — co-packing/private label</x:v>
      </x:c>
      <x:c r="K18" s="67" t="str">
        <x:v>hello@australianteamasters.com.au</x:v>
      </x:c>
      <x:c r="L18" s="67" t="str">
        <x:v>https://australianteamasters.com.au/</x:v>
      </x:c>
      <x:c r="M18" s="67" t="str">
        <x:v>N/A — services quote + facility discussion</x:v>
      </x:c>
      <x:c r="N18" s="67" t="str">
        <x:v>Pilot pack 500–1,000 units total</x:v>
      </x:c>
      <x:c r="O18" s="67" t="str">
        <x:v>A</x:v>
      </x:c>
      <x:c r="P18" s="67" t="str">
        <x:v>Research</x:v>
      </x:c>
      <x:c r="Q18" s="67" t="str">
        <x:v>Ask them to quote importer-of-record + co-packing for Casa-selected direct-origin teas</x:v>
      </x:c>
      <x:c r="R18" s="67" t="n">
        <x:v>4</x:v>
      </x:c>
      <x:c r="S18" s="67" t="n">
        <x:v>5</x:v>
      </x:c>
      <x:c r="T18" s="67" t="n">
        <x:v>5</x:v>
      </x:c>
      <x:c r="U18" s="67" t="n">
        <x:v>5</x:v>
      </x:c>
      <x:c r="V18" s="67" t="n">
        <x:v>4</x:v>
      </x:c>
      <x:c r="W18" s="67" t="n">
        <x:v>4</x:v>
      </x:c>
      <x:c r="X18" s="68" t="n">
        <x:f>(R18*Scorecard!$B$4+S18*Scorecard!$B$5+T18*Scorecard!$B$6+U18*Scorecard!$B$7+V18*Scorecard!$B$8+W18*Scorecard!$B$9)</x:f>
        <x:v>4.4</x:v>
      </x:c>
      <x:c r="Y18" s="67" t="str">
        <x:v>https://australianteamasters.com.au/custom-tea-blending/</x:v>
      </x:c>
      <x:c r="Z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  <x:c r="R19" s="77"/>
      <x:c r="S19" s="77"/>
      <x:c r="T19" s="77"/>
      <x:c r="U19" s="77"/>
      <x:c r="V19" s="77"/>
      <x:c r="W19" s="77"/>
      <x:c r="X19" s="77"/>
      <x:c r="Y19" s="77"/>
      <x:c r="Z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  <x:c r="S20" s="77"/>
      <x:c r="T20" s="77"/>
      <x:c r="U20" s="77"/>
      <x:c r="V20" s="77"/>
      <x:c r="W20" s="77"/>
      <x:c r="X20" s="77"/>
      <x:c r="Y20" s="77"/>
      <x:c r="Z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  <x:c r="O21" s="77"/>
      <x:c r="P21" s="77"/>
      <x:c r="Q21" s="77"/>
      <x:c r="R21" s="77"/>
      <x:c r="S21" s="77"/>
      <x:c r="T21" s="77"/>
      <x:c r="U21" s="77"/>
      <x:c r="V21" s="77"/>
      <x:c r="W21" s="77"/>
      <x:c r="X21" s="77"/>
      <x:c r="Y21" s="77"/>
      <x:c r="Z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77"/>
      <x:c r="R22" s="77"/>
      <x:c r="S22" s="77"/>
      <x:c r="T22" s="77"/>
      <x:c r="U22" s="77"/>
      <x:c r="V22" s="77"/>
      <x:c r="W22" s="77"/>
      <x:c r="X22" s="77"/>
      <x:c r="Y22" s="77"/>
      <x:c r="Z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77"/>
      <x:c r="P23" s="77"/>
      <x:c r="Q23" s="77"/>
      <x:c r="R23" s="77"/>
      <x:c r="S23" s="77"/>
      <x:c r="T23" s="77"/>
      <x:c r="U23" s="77"/>
      <x:c r="V23" s="77"/>
      <x:c r="W23" s="77"/>
      <x:c r="X23" s="77"/>
      <x:c r="Y23" s="77"/>
      <x:c r="Z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  <x:c r="S24" s="77"/>
      <x:c r="T24" s="77"/>
      <x:c r="U24" s="77"/>
      <x:c r="V24" s="77"/>
      <x:c r="W24" s="77"/>
      <x:c r="X24" s="77"/>
      <x:c r="Y24" s="77"/>
      <x:c r="Z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  <x:c r="O25" s="77"/>
      <x:c r="P25" s="77"/>
      <x:c r="Q25" s="77"/>
      <x:c r="R25" s="77"/>
      <x:c r="S25" s="77"/>
      <x:c r="T25" s="77"/>
      <x:c r="U25" s="77"/>
      <x:c r="V25" s="77"/>
      <x:c r="W25" s="77"/>
      <x:c r="X25" s="77"/>
      <x:c r="Y25" s="77"/>
      <x:c r="Z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77"/>
      <x:c r="P26" s="77"/>
      <x:c r="Q26" s="77"/>
      <x:c r="R26" s="77"/>
      <x:c r="S26" s="77"/>
      <x:c r="T26" s="77"/>
      <x:c r="U26" s="77"/>
      <x:c r="V26" s="77"/>
      <x:c r="W26" s="77"/>
      <x:c r="X26" s="77"/>
      <x:c r="Y26" s="77"/>
      <x:c r="Z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77"/>
      <x:c r="P27" s="77"/>
      <x:c r="Q27" s="77"/>
      <x:c r="R27" s="77"/>
      <x:c r="S27" s="77"/>
      <x:c r="T27" s="77"/>
      <x:c r="U27" s="77"/>
      <x:c r="V27" s="77"/>
      <x:c r="W27" s="77"/>
      <x:c r="X27" s="77"/>
      <x:c r="Y27" s="77"/>
      <x:c r="Z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77"/>
      <x:c r="P28" s="77"/>
      <x:c r="Q28" s="77"/>
      <x:c r="R28" s="77"/>
      <x:c r="S28" s="77"/>
      <x:c r="T28" s="77"/>
      <x:c r="U28" s="77"/>
      <x:c r="V28" s="77"/>
      <x:c r="W28" s="77"/>
      <x:c r="X28" s="77"/>
      <x:c r="Y28" s="77"/>
      <x:c r="Z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77"/>
      <x:c r="P29" s="77"/>
      <x:c r="Q29" s="77"/>
      <x:c r="R29" s="77"/>
      <x:c r="S29" s="77"/>
      <x:c r="T29" s="77"/>
      <x:c r="U29" s="77"/>
      <x:c r="V29" s="77"/>
      <x:c r="W29" s="77"/>
      <x:c r="X29" s="77"/>
      <x:c r="Y29" s="77"/>
      <x:c r="Z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77"/>
      <x:c r="R30" s="77"/>
      <x:c r="S30" s="77"/>
      <x:c r="T30" s="77"/>
      <x:c r="U30" s="77"/>
      <x:c r="V30" s="77"/>
      <x:c r="W30" s="77"/>
      <x:c r="X30" s="77"/>
      <x:c r="Y30" s="77"/>
      <x:c r="Z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  <x:c r="O31" s="77"/>
      <x:c r="P31" s="77"/>
      <x:c r="Q31" s="77"/>
      <x:c r="R31" s="77"/>
      <x:c r="S31" s="77"/>
      <x:c r="T31" s="77"/>
      <x:c r="U31" s="77"/>
      <x:c r="V31" s="77"/>
      <x:c r="W31" s="77"/>
      <x:c r="X31" s="77"/>
      <x:c r="Y31" s="77"/>
      <x:c r="Z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7"/>
      <x:c r="Q32" s="77"/>
      <x:c r="R32" s="77"/>
      <x:c r="S32" s="77"/>
      <x:c r="T32" s="77"/>
      <x:c r="U32" s="77"/>
      <x:c r="V32" s="77"/>
      <x:c r="W32" s="77"/>
      <x:c r="X32" s="77"/>
      <x:c r="Y32" s="77"/>
      <x:c r="Z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  <x:c r="O33" s="77"/>
      <x:c r="P33" s="77"/>
      <x:c r="Q33" s="77"/>
      <x:c r="R33" s="77"/>
      <x:c r="S33" s="77"/>
      <x:c r="T33" s="77"/>
      <x:c r="U33" s="77"/>
      <x:c r="V33" s="77"/>
      <x:c r="W33" s="77"/>
      <x:c r="X33" s="77"/>
      <x:c r="Y33" s="77"/>
      <x:c r="Z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7"/>
      <x:c r="Q34" s="77"/>
      <x:c r="R34" s="77"/>
      <x:c r="S34" s="77"/>
      <x:c r="T34" s="77"/>
      <x:c r="U34" s="77"/>
      <x:c r="V34" s="77"/>
      <x:c r="W34" s="77"/>
      <x:c r="X34" s="77"/>
      <x:c r="Y34" s="77"/>
      <x:c r="Z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  <x:c r="O35" s="77"/>
      <x:c r="P35" s="77"/>
      <x:c r="Q35" s="77"/>
      <x:c r="R35" s="77"/>
      <x:c r="S35" s="77"/>
      <x:c r="T35" s="77"/>
      <x:c r="U35" s="77"/>
      <x:c r="V35" s="77"/>
      <x:c r="W35" s="77"/>
      <x:c r="X35" s="77"/>
      <x:c r="Y35" s="77"/>
      <x:c r="Z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  <x:c r="S36" s="77"/>
      <x:c r="T36" s="77"/>
      <x:c r="U36" s="77"/>
      <x:c r="V36" s="77"/>
      <x:c r="W36" s="77"/>
      <x:c r="X36" s="77"/>
      <x:c r="Y36" s="77"/>
      <x:c r="Z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  <x:c r="O37" s="77"/>
      <x:c r="P37" s="77"/>
      <x:c r="Q37" s="77"/>
      <x:c r="R37" s="77"/>
      <x:c r="S37" s="77"/>
      <x:c r="T37" s="77"/>
      <x:c r="U37" s="77"/>
      <x:c r="V37" s="77"/>
      <x:c r="W37" s="77"/>
      <x:c r="X37" s="77"/>
      <x:c r="Y37" s="77"/>
      <x:c r="Z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77"/>
      <x:c r="P38" s="77"/>
      <x:c r="Q38" s="77"/>
      <x:c r="R38" s="77"/>
      <x:c r="S38" s="77"/>
      <x:c r="T38" s="77"/>
      <x:c r="U38" s="77"/>
      <x:c r="V38" s="77"/>
      <x:c r="W38" s="77"/>
      <x:c r="X38" s="77"/>
      <x:c r="Y38" s="77"/>
      <x:c r="Z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  <x:c r="O39" s="77"/>
      <x:c r="P39" s="77"/>
      <x:c r="Q39" s="77"/>
      <x:c r="R39" s="77"/>
      <x:c r="S39" s="77"/>
      <x:c r="T39" s="77"/>
      <x:c r="U39" s="77"/>
      <x:c r="V39" s="77"/>
      <x:c r="W39" s="77"/>
      <x:c r="X39" s="77"/>
      <x:c r="Y39" s="77"/>
      <x:c r="Z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7"/>
      <x:c r="Q40" s="77"/>
      <x:c r="R40" s="77"/>
      <x:c r="S40" s="77"/>
      <x:c r="T40" s="77"/>
      <x:c r="U40" s="77"/>
      <x:c r="V40" s="77"/>
      <x:c r="W40" s="77"/>
      <x:c r="X40" s="77"/>
      <x:c r="Y40" s="77"/>
      <x:c r="Z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  <x:c r="O41" s="77"/>
      <x:c r="P41" s="77"/>
      <x:c r="Q41" s="77"/>
      <x:c r="R41" s="77"/>
      <x:c r="S41" s="77"/>
      <x:c r="T41" s="77"/>
      <x:c r="U41" s="77"/>
      <x:c r="V41" s="77"/>
      <x:c r="W41" s="77"/>
      <x:c r="X41" s="77"/>
      <x:c r="Y41" s="77"/>
      <x:c r="Z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  <x:c r="O42" s="77"/>
      <x:c r="P42" s="77"/>
      <x:c r="Q42" s="77"/>
      <x:c r="R42" s="77"/>
      <x:c r="S42" s="77"/>
      <x:c r="T42" s="77"/>
      <x:c r="U42" s="77"/>
      <x:c r="V42" s="77"/>
      <x:c r="W42" s="77"/>
      <x:c r="X42" s="77"/>
      <x:c r="Y42" s="77"/>
      <x:c r="Z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  <x:c r="O43" s="77"/>
      <x:c r="P43" s="77"/>
      <x:c r="Q43" s="77"/>
      <x:c r="R43" s="77"/>
      <x:c r="S43" s="77"/>
      <x:c r="T43" s="77"/>
      <x:c r="U43" s="77"/>
      <x:c r="V43" s="77"/>
      <x:c r="W43" s="77"/>
      <x:c r="X43" s="77"/>
      <x:c r="Y43" s="77"/>
      <x:c r="Z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  <x:c r="O44" s="77"/>
      <x:c r="P44" s="77"/>
      <x:c r="Q44" s="77"/>
      <x:c r="R44" s="77"/>
      <x:c r="S44" s="77"/>
      <x:c r="T44" s="77"/>
      <x:c r="U44" s="77"/>
      <x:c r="V44" s="77"/>
      <x:c r="W44" s="77"/>
      <x:c r="X44" s="77"/>
      <x:c r="Y44" s="77"/>
      <x:c r="Z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  <x:c r="O45" s="77"/>
      <x:c r="P45" s="77"/>
      <x:c r="Q45" s="77"/>
      <x:c r="R45" s="77"/>
      <x:c r="S45" s="77"/>
      <x:c r="T45" s="77"/>
      <x:c r="U45" s="77"/>
      <x:c r="V45" s="77"/>
      <x:c r="W45" s="77"/>
      <x:c r="X45" s="77"/>
      <x:c r="Y45" s="77"/>
      <x:c r="Z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  <x:c r="O46" s="77"/>
      <x:c r="P46" s="77"/>
      <x:c r="Q46" s="77"/>
      <x:c r="R46" s="77"/>
      <x:c r="S46" s="77"/>
      <x:c r="T46" s="77"/>
      <x:c r="U46" s="77"/>
      <x:c r="V46" s="77"/>
      <x:c r="W46" s="77"/>
      <x:c r="X46" s="77"/>
      <x:c r="Y46" s="77"/>
      <x:c r="Z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  <x:c r="O47" s="77"/>
      <x:c r="P47" s="77"/>
      <x:c r="Q47" s="77"/>
      <x:c r="R47" s="77"/>
      <x:c r="S47" s="77"/>
      <x:c r="T47" s="77"/>
      <x:c r="U47" s="77"/>
      <x:c r="V47" s="77"/>
      <x:c r="W47" s="77"/>
      <x:c r="X47" s="77"/>
      <x:c r="Y47" s="77"/>
      <x:c r="Z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77"/>
      <x:c r="P48" s="77"/>
      <x:c r="Q48" s="77"/>
      <x:c r="R48" s="77"/>
      <x:c r="S48" s="77"/>
      <x:c r="T48" s="77"/>
      <x:c r="U48" s="77"/>
      <x:c r="V48" s="77"/>
      <x:c r="W48" s="77"/>
      <x:c r="X48" s="77"/>
      <x:c r="Y48" s="77"/>
      <x:c r="Z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77"/>
      <x:c r="P49" s="77"/>
      <x:c r="Q49" s="77"/>
      <x:c r="R49" s="77"/>
      <x:c r="S49" s="77"/>
      <x:c r="T49" s="77"/>
      <x:c r="U49" s="77"/>
      <x:c r="V49" s="77"/>
      <x:c r="W49" s="77"/>
      <x:c r="X49" s="77"/>
      <x:c r="Y49" s="77"/>
      <x:c r="Z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  <x:c r="S50" s="77"/>
      <x:c r="T50" s="77"/>
      <x:c r="U50" s="77"/>
      <x:c r="V50" s="77"/>
      <x:c r="W50" s="77"/>
      <x:c r="X50" s="77"/>
      <x:c r="Y50" s="77"/>
      <x:c r="Z50" s="77"/>
    </x:row>
  </x:sheetData>
  <x:mergeCells>
    <x:mergeCell ref="A1:Y1"/>
  </x:mergeCells>
  <x:conditionalFormatting sqref="X7:X18">
    <x:cfRule type="colorScale" priority="1">
      <x:colorScale>
        <x:cfvo type="min"/>
        <x:cfvo type="percentile" val="50"/>
        <x:cfvo type="max"/>
        <x:color rgb="FFF3D4C9"/>
        <x:color rgb="FFE9E0C6"/>
        <x:color rgb="FFD8E1D5"/>
      </x:colorScale>
    </x:cfRule>
  </x:conditionalFormatting>
  <x:conditionalFormatting sqref="O7:O18">
    <x:cfRule type="expression" dxfId="0" priority="2">
      <x:formula>O7="A"</x:formula>
    </x:cfRule>
    <x:cfRule type="expression" dxfId="1" priority="3">
      <x:formula>O7="B"</x:formula>
    </x:cfRule>
    <x:cfRule type="expression" dxfId="2" priority="4">
      <x:formula>O7="C"</x:formula>
    </x:cfRule>
  </x:conditionalFormatting>
  <x:dataValidations count="2">
    <x:dataValidation type="list" sqref="P7:P18">
      <x:formula1>"Research,Contact,Samples requested,Samples received,Shortlisted,Rejected,Negotiating,Approved"</x:formula1>
    </x:dataValidation>
    <x:dataValidation type="list" sqref="O7:O18">
      <x:formula1>"A,B,C"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32" hidden="0" customWidth="1"/>
    <x:col min="5" max="5" width="24" hidden="0" customWidth="1"/>
    <x:col min="6" max="6" width="24" hidden="0" customWidth="1"/>
    <x:col min="7" max="7" width="14" hidden="0" customWidth="1"/>
    <x:col min="8" max="8" width="40" hidden="0" customWidth="1"/>
    <x:col min="9" max="9" width="28" hidden="0" customWidth="1"/>
    <x:col min="10" max="10" width="52" hidden="0" customWidth="1"/>
  </x:cols>
  <x:sheetData>
    <x:row r="1" ht="28" customHeight="1">
      <x:c r="A1" s="115" t="str">
        <x:v>CASA 1569 — Founding Routes Procurement Brief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3">
      <x:c r="A3" s="91" t="str">
        <x:v>Route</x:v>
      </x:c>
      <x:c r="B3" s="91" t="str">
        <x:v>Launch Role</x:v>
      </x:c>
      <x:c r="C3" s="91" t="str">
        <x:v>Origin</x:v>
      </x:c>
      <x:c r="D3" s="91" t="str">
        <x:v>Tea</x:v>
      </x:c>
      <x:c r="E3" s="91" t="str">
        <x:v>Primary Supplier</x:v>
      </x:c>
      <x:c r="F3" s="91" t="str">
        <x:v>Backup</x:v>
      </x:c>
      <x:c r="G3" s="91" t="str">
        <x:v>Pilot Qty</x:v>
      </x:c>
      <x:c r="H3" s="91" t="str">
        <x:v>Sample Brief</x:v>
      </x:c>
      <x:c r="I3" s="91" t="str">
        <x:v>Commercial Goal</x:v>
      </x:c>
      <x:c r="J3" s="91" t="str">
        <x:v>Why It Belongs</x:v>
      </x:c>
      <x:c r="K3" s="77"/>
      <x:c r="L3" s="77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  <x:c r="X3" s="77"/>
      <x:c r="Y3" s="77"/>
      <x:c r="Z3" s="77"/>
    </x:row>
    <x:row r="4">
      <x:c r="A4" s="67" t="str">
        <x:v>ROTA 001</x:v>
      </x:c>
      <x:c r="B4" s="67" t="str">
        <x:v>Hero / brand anchor</x:v>
      </x:c>
      <x:c r="C4" s="67" t="str">
        <x:v>São Miguel, Açores</x:v>
      </x:c>
      <x:c r="D4" s="67" t="str">
        <x:v>Premium black tea — Orange Pekoe/Pekoe</x:v>
      </x:c>
      <x:c r="E4" s="67" t="str">
        <x:v>Gorreana</x:v>
      </x:c>
      <x:c r="F4" s="67" t="str">
        <x:v>Porto Formoso</x:v>
      </x:c>
      <x:c r="G4" s="67" t="str">
        <x:v>20 kg</x:v>
      </x:c>
      <x:c r="H4" s="67" t="str">
        <x:v>3 pure black grades, current harvest, full lot data</x:v>
      </x:c>
      <x:c r="I4" s="67" t="str">
        <x:v>250 × 80g equivalent before wastage</x:v>
      </x:c>
      <x:c r="J4" s="67" t="str">
        <x:v>The Portuguese-grown proof that CASA 1569 is more than historical storytelling.</x:v>
      </x:c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  <x:c r="Z4" s="77"/>
    </x:row>
    <x:row r="5">
      <x:c r="A5" s="67" t="str">
        <x:v>ROTA 002</x:v>
      </x:c>
      <x:c r="B5" s="67" t="str">
        <x:v>Historical bridge</x:v>
      </x:c>
      <x:c r="C5" s="67" t="str">
        <x:v>Wuyishan / Fujian, China</x:v>
      </x:c>
      <x:c r="D5" s="67" t="str">
        <x:v>Traditional oolong (preferred) or unsmoked Lapsang</x:v>
      </x:c>
      <x:c r="E5" s="67" t="str">
        <x:v>Wuyi Origin</x:v>
      </x:c>
      <x:c r="F5" s="67" t="str">
        <x:v>Fujian Tea Import &amp; Export</x:v>
      </x:c>
      <x:c r="G5" s="67" t="str">
        <x:v>10 kg</x:v>
      </x:c>
      <x:c r="H5" s="67" t="str">
        <x:v>3 named-origin artisan lots; COA/residue data</x:v>
      </x:c>
      <x:c r="I5" s="67" t="str">
        <x:v>125 × 80g equivalent</x:v>
      </x:c>
      <x:c r="J5" s="67" t="str">
        <x:v>China must be represented in the founding collection because the CASA 1569 story begins with Portuguese encounters with chá in China.</x:v>
      </x:c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>
      <x:c r="A6" s="67" t="str">
        <x:v>ROTA 003</x:v>
      </x:c>
      <x:c r="B6" s="67" t="str">
        <x:v>Prestige seasonal</x:v>
      </x:c>
      <x:c r="C6" s="67" t="str">
        <x:v>Darjeeling, India</x:v>
      </x:c>
      <x:c r="D6" s="67" t="str">
        <x:v>First Flush, named estate</x:v>
      </x:c>
      <x:c r="E6" s="67" t="str">
        <x:v>Tea Promoters India</x:v>
      </x:c>
      <x:c r="F6" s="67" t="str">
        <x:v>Glenburn Fine Tea</x:v>
      </x:c>
      <x:c r="G6" s="67" t="str">
        <x:v>10 kg</x:v>
      </x:c>
      <x:c r="H6" s="67" t="str">
        <x:v>3 first-flush lots; estate, invoice lot, harvest date</x:v>
      </x:c>
      <x:c r="I6" s="67" t="str">
        <x:v>125 × 80g equivalent</x:v>
      </x:c>
      <x:c r="J6" s="67" t="str">
        <x:v>Creates scarcity, seasonality and connoisseur credibility.</x:v>
      </x:c>
      <x:c r="K6" s="77"/>
      <x:c r="L6" s="77"/>
      <x:c r="M6" s="77"/>
      <x:c r="N6" s="77"/>
      <x:c r="O6" s="77"/>
      <x:c r="P6" s="77"/>
      <x:c r="Q6" s="77"/>
      <x:c r="R6" s="77"/>
      <x:c r="S6" s="77"/>
      <x:c r="T6" s="77"/>
      <x:c r="U6" s="77"/>
      <x:c r="V6" s="77"/>
      <x:c r="W6" s="77"/>
      <x:c r="X6" s="77"/>
      <x:c r="Y6" s="77"/>
      <x:c r="Z6" s="77"/>
    </x:row>
    <x:row r="7">
      <x:c r="A7" s="67" t="str">
        <x:v>ROTA 004</x:v>
      </x:c>
      <x:c r="B7" s="67" t="str">
        <x:v>Elegant everyday black</x:v>
      </x:c>
      <x:c r="C7" s="67" t="str">
        <x:v>Nuwara Eliya / Dimbula, Sri Lanka</x:v>
      </x:c>
      <x:c r="D7" s="67" t="str">
        <x:v>High-grown Ceylon black, named estate</x:v>
      </x:c>
      <x:c r="E7" s="67" t="str">
        <x:v>Empire Teas</x:v>
      </x:c>
      <x:c r="F7" s="67" t="str">
        <x:v>Mlesna</x:v>
      </x:c>
      <x:c r="G7" s="67" t="str">
        <x:v>10 kg</x:v>
      </x:c>
      <x:c r="H7" s="67" t="str">
        <x:v>3 named-estate high-grown lots; no anonymous blend</x:v>
      </x:c>
      <x:c r="I7" s="67" t="str">
        <x:v>125 × 80g equivalent</x:v>
      </x:c>
      <x:c r="J7" s="67" t="str">
        <x:v>Balanced, highly drinkable black tea with strong provenance and repeat-purchase potential.</x:v>
      </x:c>
      <x:c r="K7" s="77"/>
      <x:c r="L7" s="77"/>
      <x:c r="M7" s="77"/>
      <x:c r="N7" s="77"/>
      <x:c r="O7" s="77"/>
      <x:c r="P7" s="77"/>
      <x:c r="Q7" s="77"/>
      <x:c r="R7" s="77"/>
      <x:c r="S7" s="77"/>
      <x:c r="T7" s="77"/>
      <x:c r="U7" s="77"/>
      <x:c r="V7" s="77"/>
      <x:c r="W7" s="77"/>
      <x:c r="X7" s="77"/>
      <x:c r="Y7" s="77"/>
      <x:c r="Z7" s="77"/>
    </x:row>
    <x:row r="8">
      <x:c r="A8" s="67" t="str">
        <x:v>ROTA 005</x:v>
      </x:c>
      <x:c r="B8" s="67" t="str">
        <x:v>Modern premium green</x:v>
      </x:c>
      <x:c r="C8" s="67" t="str">
        <x:v>Wazuka, Kyoto, Japan</x:v>
      </x:c>
      <x:c r="D8" s="67" t="str">
        <x:v>Single-origin sencha</x:v>
      </x:c>
      <x:c r="E8" s="67" t="str">
        <x:v>Kyoto Obubu</x:v>
      </x:c>
      <x:c r="F8" s="67" t="str">
        <x:v>Sugimoto</x:v>
      </x:c>
      <x:c r="G8" s="67" t="str">
        <x:v>10 kg</x:v>
      </x:c>
      <x:c r="H8" s="67" t="str">
        <x:v>3 sencha lots with cultivar, harvest and processing details</x:v>
      </x:c>
      <x:c r="I8" s="67" t="str">
        <x:v>125 × 80g equivalent</x:v>
      </x:c>
      <x:c r="J8" s="67" t="str">
        <x:v>Gives CASA 1569 a clean, contemporary Japanese route and a visually distinct green tea.</x:v>
      </x:c>
      <x:c r="K8" s="77"/>
      <x:c r="L8" s="77"/>
      <x:c r="M8" s="77"/>
      <x:c r="N8" s="77"/>
      <x:c r="O8" s="77"/>
      <x:c r="P8" s="77"/>
      <x:c r="Q8" s="77"/>
      <x:c r="R8" s="77"/>
      <x:c r="S8" s="77"/>
      <x:c r="T8" s="77"/>
      <x:c r="U8" s="77"/>
      <x:c r="V8" s="77"/>
      <x:c r="W8" s="77"/>
      <x:c r="X8" s="77"/>
      <x:c r="Y8" s="77"/>
      <x:c r="Z8" s="77"/>
    </x:row>
    <x:row r="9">
      <x:c r="A9" s="67" t="str">
        <x:v>ROTA 006</x:v>
      </x:c>
      <x:c r="B9" s="67" t="str">
        <x:v>Phase 2 / volume repeat</x:v>
      </x:c>
      <x:c r="C9" s="67" t="str">
        <x:v>Assam, India</x:v>
      </x:c>
      <x:c r="D9" s="67" t="str">
        <x:v>Orthodox Assam</x:v>
      </x:c>
      <x:c r="E9" s="67" t="str">
        <x:v>Halmari</x:v>
      </x:c>
      <x:c r="F9" s="67" t="str">
        <x:v>Tea Promoters India</x:v>
      </x:c>
      <x:c r="G9" s="67" t="str">
        <x:v>10–20 kg</x:v>
      </x:c>
      <x:c r="H9" s="67" t="str">
        <x:v>2–3 golden-tippy orthodox lots</x:v>
      </x:c>
      <x:c r="I9" s="67" t="str">
        <x:v>Future core repeat product</x:v>
      </x:c>
      <x:c r="J9" s="67" t="str">
        <x:v>Commercially useful for breakfast-style demand; launch after the founding five are established.</x:v>
      </x:c>
      <x:c r="K9" s="77"/>
      <x:c r="L9" s="77"/>
      <x:c r="M9" s="77"/>
      <x:c r="N9" s="77"/>
      <x:c r="O9" s="77"/>
      <x:c r="P9" s="77"/>
      <x:c r="Q9" s="77"/>
      <x:c r="R9" s="77"/>
      <x:c r="S9" s="77"/>
      <x:c r="T9" s="77"/>
      <x:c r="U9" s="77"/>
      <x:c r="V9" s="77"/>
      <x:c r="W9" s="77"/>
      <x:c r="X9" s="77"/>
      <x:c r="Y9" s="77"/>
      <x:c r="Z9" s="77"/>
    </x:row>
    <x:row r="10">
      <x:c r="A10" s="77"/>
      <x:c r="B10" s="77"/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  <x:c r="S10" s="77"/>
      <x:c r="T10" s="77"/>
      <x:c r="U10" s="77"/>
      <x:c r="V10" s="77"/>
      <x:c r="W10" s="77"/>
      <x:c r="X10" s="77"/>
      <x:c r="Y10" s="77"/>
      <x:c r="Z10" s="77"/>
    </x:row>
    <x:row r="11">
      <x:c r="A11" s="77"/>
      <x:c r="B11" s="77"/>
      <x:c r="C11" s="77"/>
      <x:c r="D11" s="77"/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  <x:c r="O11" s="77"/>
      <x:c r="P11" s="77"/>
      <x:c r="Q11" s="77"/>
      <x:c r="R11" s="77"/>
      <x:c r="S11" s="77"/>
      <x:c r="T11" s="77"/>
      <x:c r="U11" s="77"/>
      <x:c r="V11" s="77"/>
      <x:c r="W11" s="77"/>
      <x:c r="X11" s="77"/>
      <x:c r="Y11" s="77"/>
      <x:c r="Z11" s="77"/>
    </x:row>
    <x:row r="12">
      <x:c r="A12" s="77"/>
      <x:c r="B12" s="77"/>
      <x:c r="C12" s="77"/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  <x:c r="O12" s="77"/>
      <x:c r="P12" s="77"/>
      <x:c r="Q12" s="77"/>
      <x:c r="R12" s="77"/>
      <x:c r="S12" s="77"/>
      <x:c r="T12" s="77"/>
      <x:c r="U12" s="77"/>
      <x:c r="V12" s="77"/>
      <x:c r="W12" s="77"/>
      <x:c r="X12" s="77"/>
      <x:c r="Y12" s="77"/>
      <x:c r="Z12" s="77"/>
    </x:row>
    <x:row r="13">
      <x:c r="A13" s="77"/>
      <x:c r="B13" s="77"/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  <x:c r="O13" s="77"/>
      <x:c r="P13" s="77"/>
      <x:c r="Q13" s="77"/>
      <x:c r="R13" s="77"/>
      <x:c r="S13" s="77"/>
      <x:c r="T13" s="77"/>
      <x:c r="U13" s="77"/>
      <x:c r="V13" s="77"/>
      <x:c r="W13" s="77"/>
      <x:c r="X13" s="77"/>
      <x:c r="Y13" s="77"/>
      <x:c r="Z13" s="77"/>
    </x:row>
    <x:row r="14">
      <x:c r="A14" s="77"/>
      <x:c r="B14" s="77"/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  <x:c r="O14" s="77"/>
      <x:c r="P14" s="77"/>
      <x:c r="Q14" s="77"/>
      <x:c r="R14" s="77"/>
      <x:c r="S14" s="77"/>
      <x:c r="T14" s="77"/>
      <x:c r="U14" s="77"/>
      <x:c r="V14" s="77"/>
      <x:c r="W14" s="77"/>
      <x:c r="X14" s="77"/>
      <x:c r="Y14" s="77"/>
      <x:c r="Z14" s="77"/>
    </x:row>
    <x:row r="15">
      <x:c r="A15" s="77"/>
      <x:c r="B15" s="77"/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  <x:c r="O15" s="77"/>
      <x:c r="P15" s="77"/>
      <x:c r="Q15" s="77"/>
      <x:c r="R15" s="77"/>
      <x:c r="S15" s="77"/>
      <x:c r="T15" s="77"/>
      <x:c r="U15" s="77"/>
      <x:c r="V15" s="77"/>
      <x:c r="W15" s="77"/>
      <x:c r="X15" s="77"/>
      <x:c r="Y15" s="77"/>
      <x:c r="Z15" s="77"/>
    </x:row>
    <x:row r="16">
      <x:c r="A16" s="77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  <x:c r="O16" s="77"/>
      <x:c r="P16" s="77"/>
      <x:c r="Q16" s="77"/>
      <x:c r="R16" s="77"/>
      <x:c r="S16" s="77"/>
      <x:c r="T16" s="77"/>
      <x:c r="U16" s="77"/>
      <x:c r="V16" s="77"/>
      <x:c r="W16" s="77"/>
      <x:c r="X16" s="77"/>
      <x:c r="Y16" s="77"/>
      <x:c r="Z16" s="77"/>
    </x:row>
    <x:row r="17">
      <x:c r="A17" s="77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  <x:c r="O17" s="77"/>
      <x:c r="P17" s="77"/>
      <x:c r="Q17" s="77"/>
      <x:c r="R17" s="77"/>
      <x:c r="S17" s="77"/>
      <x:c r="T17" s="77"/>
      <x:c r="U17" s="77"/>
      <x:c r="V17" s="77"/>
      <x:c r="W17" s="77"/>
      <x:c r="X17" s="77"/>
      <x:c r="Y17" s="77"/>
      <x:c r="Z17" s="77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77"/>
      <x:c r="R18" s="77"/>
      <x:c r="S18" s="77"/>
      <x:c r="T18" s="77"/>
      <x:c r="U18" s="77"/>
      <x:c r="V18" s="77"/>
      <x:c r="W18" s="77"/>
      <x:c r="X18" s="77"/>
      <x:c r="Y18" s="77"/>
      <x:c r="Z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  <x:c r="R19" s="77"/>
      <x:c r="S19" s="77"/>
      <x:c r="T19" s="77"/>
      <x:c r="U19" s="77"/>
      <x:c r="V19" s="77"/>
      <x:c r="W19" s="77"/>
      <x:c r="X19" s="77"/>
      <x:c r="Y19" s="77"/>
      <x:c r="Z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  <x:c r="S20" s="77"/>
      <x:c r="T20" s="77"/>
      <x:c r="U20" s="77"/>
      <x:c r="V20" s="77"/>
      <x:c r="W20" s="77"/>
      <x:c r="X20" s="77"/>
      <x:c r="Y20" s="77"/>
      <x:c r="Z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  <x:c r="O21" s="77"/>
      <x:c r="P21" s="77"/>
      <x:c r="Q21" s="77"/>
      <x:c r="R21" s="77"/>
      <x:c r="S21" s="77"/>
      <x:c r="T21" s="77"/>
      <x:c r="U21" s="77"/>
      <x:c r="V21" s="77"/>
      <x:c r="W21" s="77"/>
      <x:c r="X21" s="77"/>
      <x:c r="Y21" s="77"/>
      <x:c r="Z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77"/>
      <x:c r="R22" s="77"/>
      <x:c r="S22" s="77"/>
      <x:c r="T22" s="77"/>
      <x:c r="U22" s="77"/>
      <x:c r="V22" s="77"/>
      <x:c r="W22" s="77"/>
      <x:c r="X22" s="77"/>
      <x:c r="Y22" s="77"/>
      <x:c r="Z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77"/>
      <x:c r="P23" s="77"/>
      <x:c r="Q23" s="77"/>
      <x:c r="R23" s="77"/>
      <x:c r="S23" s="77"/>
      <x:c r="T23" s="77"/>
      <x:c r="U23" s="77"/>
      <x:c r="V23" s="77"/>
      <x:c r="W23" s="77"/>
      <x:c r="X23" s="77"/>
      <x:c r="Y23" s="77"/>
      <x:c r="Z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  <x:c r="S24" s="77"/>
      <x:c r="T24" s="77"/>
      <x:c r="U24" s="77"/>
      <x:c r="V24" s="77"/>
      <x:c r="W24" s="77"/>
      <x:c r="X24" s="77"/>
      <x:c r="Y24" s="77"/>
      <x:c r="Z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  <x:c r="O25" s="77"/>
      <x:c r="P25" s="77"/>
      <x:c r="Q25" s="77"/>
      <x:c r="R25" s="77"/>
      <x:c r="S25" s="77"/>
      <x:c r="T25" s="77"/>
      <x:c r="U25" s="77"/>
      <x:c r="V25" s="77"/>
      <x:c r="W25" s="77"/>
      <x:c r="X25" s="77"/>
      <x:c r="Y25" s="77"/>
      <x:c r="Z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77"/>
      <x:c r="P26" s="77"/>
      <x:c r="Q26" s="77"/>
      <x:c r="R26" s="77"/>
      <x:c r="S26" s="77"/>
      <x:c r="T26" s="77"/>
      <x:c r="U26" s="77"/>
      <x:c r="V26" s="77"/>
      <x:c r="W26" s="77"/>
      <x:c r="X26" s="77"/>
      <x:c r="Y26" s="77"/>
      <x:c r="Z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77"/>
      <x:c r="P27" s="77"/>
      <x:c r="Q27" s="77"/>
      <x:c r="R27" s="77"/>
      <x:c r="S27" s="77"/>
      <x:c r="T27" s="77"/>
      <x:c r="U27" s="77"/>
      <x:c r="V27" s="77"/>
      <x:c r="W27" s="77"/>
      <x:c r="X27" s="77"/>
      <x:c r="Y27" s="77"/>
      <x:c r="Z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77"/>
      <x:c r="P28" s="77"/>
      <x:c r="Q28" s="77"/>
      <x:c r="R28" s="77"/>
      <x:c r="S28" s="77"/>
      <x:c r="T28" s="77"/>
      <x:c r="U28" s="77"/>
      <x:c r="V28" s="77"/>
      <x:c r="W28" s="77"/>
      <x:c r="X28" s="77"/>
      <x:c r="Y28" s="77"/>
      <x:c r="Z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77"/>
      <x:c r="P29" s="77"/>
      <x:c r="Q29" s="77"/>
      <x:c r="R29" s="77"/>
      <x:c r="S29" s="77"/>
      <x:c r="T29" s="77"/>
      <x:c r="U29" s="77"/>
      <x:c r="V29" s="77"/>
      <x:c r="W29" s="77"/>
      <x:c r="X29" s="77"/>
      <x:c r="Y29" s="77"/>
      <x:c r="Z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77"/>
      <x:c r="R30" s="77"/>
      <x:c r="S30" s="77"/>
      <x:c r="T30" s="77"/>
      <x:c r="U30" s="77"/>
      <x:c r="V30" s="77"/>
      <x:c r="W30" s="77"/>
      <x:c r="X30" s="77"/>
      <x:c r="Y30" s="77"/>
      <x:c r="Z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  <x:c r="O31" s="77"/>
      <x:c r="P31" s="77"/>
      <x:c r="Q31" s="77"/>
      <x:c r="R31" s="77"/>
      <x:c r="S31" s="77"/>
      <x:c r="T31" s="77"/>
      <x:c r="U31" s="77"/>
      <x:c r="V31" s="77"/>
      <x:c r="W31" s="77"/>
      <x:c r="X31" s="77"/>
      <x:c r="Y31" s="77"/>
      <x:c r="Z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7"/>
      <x:c r="Q32" s="77"/>
      <x:c r="R32" s="77"/>
      <x:c r="S32" s="77"/>
      <x:c r="T32" s="77"/>
      <x:c r="U32" s="77"/>
      <x:c r="V32" s="77"/>
      <x:c r="W32" s="77"/>
      <x:c r="X32" s="77"/>
      <x:c r="Y32" s="77"/>
      <x:c r="Z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  <x:c r="O33" s="77"/>
      <x:c r="P33" s="77"/>
      <x:c r="Q33" s="77"/>
      <x:c r="R33" s="77"/>
      <x:c r="S33" s="77"/>
      <x:c r="T33" s="77"/>
      <x:c r="U33" s="77"/>
      <x:c r="V33" s="77"/>
      <x:c r="W33" s="77"/>
      <x:c r="X33" s="77"/>
      <x:c r="Y33" s="77"/>
      <x:c r="Z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7"/>
      <x:c r="Q34" s="77"/>
      <x:c r="R34" s="77"/>
      <x:c r="S34" s="77"/>
      <x:c r="T34" s="77"/>
      <x:c r="U34" s="77"/>
      <x:c r="V34" s="77"/>
      <x:c r="W34" s="77"/>
      <x:c r="X34" s="77"/>
      <x:c r="Y34" s="77"/>
      <x:c r="Z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  <x:c r="O35" s="77"/>
      <x:c r="P35" s="77"/>
      <x:c r="Q35" s="77"/>
      <x:c r="R35" s="77"/>
      <x:c r="S35" s="77"/>
      <x:c r="T35" s="77"/>
      <x:c r="U35" s="77"/>
      <x:c r="V35" s="77"/>
      <x:c r="W35" s="77"/>
      <x:c r="X35" s="77"/>
      <x:c r="Y35" s="77"/>
      <x:c r="Z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  <x:c r="S36" s="77"/>
      <x:c r="T36" s="77"/>
      <x:c r="U36" s="77"/>
      <x:c r="V36" s="77"/>
      <x:c r="W36" s="77"/>
      <x:c r="X36" s="77"/>
      <x:c r="Y36" s="77"/>
      <x:c r="Z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  <x:c r="O37" s="77"/>
      <x:c r="P37" s="77"/>
      <x:c r="Q37" s="77"/>
      <x:c r="R37" s="77"/>
      <x:c r="S37" s="77"/>
      <x:c r="T37" s="77"/>
      <x:c r="U37" s="77"/>
      <x:c r="V37" s="77"/>
      <x:c r="W37" s="77"/>
      <x:c r="X37" s="77"/>
      <x:c r="Y37" s="77"/>
      <x:c r="Z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77"/>
      <x:c r="P38" s="77"/>
      <x:c r="Q38" s="77"/>
      <x:c r="R38" s="77"/>
      <x:c r="S38" s="77"/>
      <x:c r="T38" s="77"/>
      <x:c r="U38" s="77"/>
      <x:c r="V38" s="77"/>
      <x:c r="W38" s="77"/>
      <x:c r="X38" s="77"/>
      <x:c r="Y38" s="77"/>
      <x:c r="Z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  <x:c r="O39" s="77"/>
      <x:c r="P39" s="77"/>
      <x:c r="Q39" s="77"/>
      <x:c r="R39" s="77"/>
      <x:c r="S39" s="77"/>
      <x:c r="T39" s="77"/>
      <x:c r="U39" s="77"/>
      <x:c r="V39" s="77"/>
      <x:c r="W39" s="77"/>
      <x:c r="X39" s="77"/>
      <x:c r="Y39" s="77"/>
      <x:c r="Z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7"/>
      <x:c r="Q40" s="77"/>
      <x:c r="R40" s="77"/>
      <x:c r="S40" s="77"/>
      <x:c r="T40" s="77"/>
      <x:c r="U40" s="77"/>
      <x:c r="V40" s="77"/>
      <x:c r="W40" s="77"/>
      <x:c r="X40" s="77"/>
      <x:c r="Y40" s="77"/>
      <x:c r="Z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  <x:c r="O41" s="77"/>
      <x:c r="P41" s="77"/>
      <x:c r="Q41" s="77"/>
      <x:c r="R41" s="77"/>
      <x:c r="S41" s="77"/>
      <x:c r="T41" s="77"/>
      <x:c r="U41" s="77"/>
      <x:c r="V41" s="77"/>
      <x:c r="W41" s="77"/>
      <x:c r="X41" s="77"/>
      <x:c r="Y41" s="77"/>
      <x:c r="Z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  <x:c r="O42" s="77"/>
      <x:c r="P42" s="77"/>
      <x:c r="Q42" s="77"/>
      <x:c r="R42" s="77"/>
      <x:c r="S42" s="77"/>
      <x:c r="T42" s="77"/>
      <x:c r="U42" s="77"/>
      <x:c r="V42" s="77"/>
      <x:c r="W42" s="77"/>
      <x:c r="X42" s="77"/>
      <x:c r="Y42" s="77"/>
      <x:c r="Z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  <x:c r="O43" s="77"/>
      <x:c r="P43" s="77"/>
      <x:c r="Q43" s="77"/>
      <x:c r="R43" s="77"/>
      <x:c r="S43" s="77"/>
      <x:c r="T43" s="77"/>
      <x:c r="U43" s="77"/>
      <x:c r="V43" s="77"/>
      <x:c r="W43" s="77"/>
      <x:c r="X43" s="77"/>
      <x:c r="Y43" s="77"/>
      <x:c r="Z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  <x:c r="O44" s="77"/>
      <x:c r="P44" s="77"/>
      <x:c r="Q44" s="77"/>
      <x:c r="R44" s="77"/>
      <x:c r="S44" s="77"/>
      <x:c r="T44" s="77"/>
      <x:c r="U44" s="77"/>
      <x:c r="V44" s="77"/>
      <x:c r="W44" s="77"/>
      <x:c r="X44" s="77"/>
      <x:c r="Y44" s="77"/>
      <x:c r="Z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  <x:c r="O45" s="77"/>
      <x:c r="P45" s="77"/>
      <x:c r="Q45" s="77"/>
      <x:c r="R45" s="77"/>
      <x:c r="S45" s="77"/>
      <x:c r="T45" s="77"/>
      <x:c r="U45" s="77"/>
      <x:c r="V45" s="77"/>
      <x:c r="W45" s="77"/>
      <x:c r="X45" s="77"/>
      <x:c r="Y45" s="77"/>
      <x:c r="Z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  <x:c r="O46" s="77"/>
      <x:c r="P46" s="77"/>
      <x:c r="Q46" s="77"/>
      <x:c r="R46" s="77"/>
      <x:c r="S46" s="77"/>
      <x:c r="T46" s="77"/>
      <x:c r="U46" s="77"/>
      <x:c r="V46" s="77"/>
      <x:c r="W46" s="77"/>
      <x:c r="X46" s="77"/>
      <x:c r="Y46" s="77"/>
      <x:c r="Z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  <x:c r="O47" s="77"/>
      <x:c r="P47" s="77"/>
      <x:c r="Q47" s="77"/>
      <x:c r="R47" s="77"/>
      <x:c r="S47" s="77"/>
      <x:c r="T47" s="77"/>
      <x:c r="U47" s="77"/>
      <x:c r="V47" s="77"/>
      <x:c r="W47" s="77"/>
      <x:c r="X47" s="77"/>
      <x:c r="Y47" s="77"/>
      <x:c r="Z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77"/>
      <x:c r="P48" s="77"/>
      <x:c r="Q48" s="77"/>
      <x:c r="R48" s="77"/>
      <x:c r="S48" s="77"/>
      <x:c r="T48" s="77"/>
      <x:c r="U48" s="77"/>
      <x:c r="V48" s="77"/>
      <x:c r="W48" s="77"/>
      <x:c r="X48" s="77"/>
      <x:c r="Y48" s="77"/>
      <x:c r="Z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77"/>
      <x:c r="P49" s="77"/>
      <x:c r="Q49" s="77"/>
      <x:c r="R49" s="77"/>
      <x:c r="S49" s="77"/>
      <x:c r="T49" s="77"/>
      <x:c r="U49" s="77"/>
      <x:c r="V49" s="77"/>
      <x:c r="W49" s="77"/>
      <x:c r="X49" s="77"/>
      <x:c r="Y49" s="77"/>
      <x:c r="Z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  <x:c r="S50" s="77"/>
      <x:c r="T50" s="77"/>
      <x:c r="U50" s="77"/>
      <x:c r="V50" s="77"/>
      <x:c r="W50" s="77"/>
      <x:c r="X50" s="77"/>
      <x:c r="Y50" s="77"/>
      <x:c r="Z50" s="77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5" hidden="0" customWidth="1"/>
    <x:col min="3" max="3" width="44" hidden="0" customWidth="1"/>
    <x:col min="4" max="4" width="14" hidden="0" customWidth="1"/>
  </x:cols>
  <x:sheetData>
    <x:row r="1" ht="28" customHeight="1">
      <x:c r="A1" s="115" t="str">
        <x:v>CASA 1569 — Supplier RFQ / Sample Request Checklist</x:v>
      </x:c>
      <x:c r="B1" s="115"/>
      <x:c r="C1" s="115"/>
      <x:c r="D1" s="115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3">
      <x:c r="A3" s="96" t="str">
        <x:v>Category</x:v>
      </x:c>
      <x:c r="B3" s="96" t="str">
        <x:v>Question / Requirement</x:v>
      </x:c>
      <x:c r="C3" s="96" t="str">
        <x:v>Why It Matters</x:v>
      </x:c>
      <x:c r="D3" s="96" t="str">
        <x:v>Gate</x:v>
      </x:c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  <x:c r="X3" s="77"/>
      <x:c r="Y3" s="77"/>
      <x:c r="Z3" s="77"/>
    </x:row>
    <x:row r="4">
      <x:c r="A4" s="67" t="str">
        <x:v>Provenance</x:v>
      </x:c>
      <x:c r="B4" s="67" t="str">
        <x:v>Can you identify the exact estate/garden, region, harvest date, cultivar (where relevant), and production lot for every batch?</x:v>
      </x:c>
      <x:c r="C4" s="67" t="str">
        <x:v>CASA 1569 sells origin, not anonymous tea.</x:v>
      </x:c>
      <x:c r="D4" s="67" t="str">
        <x:v>Required</x:v>
      </x:c>
      <x:c r="E4" s="77"/>
      <x:c r="F4" s="77"/>
      <x:c r="G4" s="77"/>
      <x:c r="H4" s="77"/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  <x:c r="Z4" s="77"/>
    </x:row>
    <x:row r="5">
      <x:c r="A5" s="67" t="str">
        <x:v>Samples</x:v>
      </x:c>
      <x:c r="B5" s="67" t="str">
        <x:v>Please quote and send 100–250g samples of 2–3 current lots that match the attached route brief.</x:v>
      </x:c>
      <x:c r="C5" s="67" t="str">
        <x:v>Cup quality decides the supplier.</x:v>
      </x:c>
      <x:c r="D5" s="67" t="str">
        <x:v>Required</x:v>
      </x:c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>
      <x:c r="A6" s="67" t="str">
        <x:v>Quality</x:v>
      </x:c>
      <x:c r="B6" s="67" t="str">
        <x:v>Provide product specification, moisture, microbiological testing, pesticide/residue testing or COA available for export.</x:v>
      </x:c>
      <x:c r="C6" s="67" t="str">
        <x:v>Australian food safety and supplier diligence.</x:v>
      </x:c>
      <x:c r="D6" s="67" t="str">
        <x:v>Required</x:v>
      </x:c>
      <x:c r="E6" s="77"/>
      <x:c r="F6" s="77"/>
      <x:c r="G6" s="77"/>
      <x:c r="H6" s="77"/>
      <x:c r="I6" s="77"/>
      <x:c r="J6" s="77"/>
      <x:c r="K6" s="77"/>
      <x:c r="L6" s="77"/>
      <x:c r="M6" s="77"/>
      <x:c r="N6" s="77"/>
      <x:c r="O6" s="77"/>
      <x:c r="P6" s="77"/>
      <x:c r="Q6" s="77"/>
      <x:c r="R6" s="77"/>
      <x:c r="S6" s="77"/>
      <x:c r="T6" s="77"/>
      <x:c r="U6" s="77"/>
      <x:c r="V6" s="77"/>
      <x:c r="W6" s="77"/>
      <x:c r="X6" s="77"/>
      <x:c r="Y6" s="77"/>
      <x:c r="Z6" s="77"/>
    </x:row>
    <x:row r="7">
      <x:c r="A7" s="67" t="str">
        <x:v>Export</x:v>
      </x:c>
      <x:c r="B7" s="67" t="str">
        <x:v>Have you exported commercial tea to Australia? If yes, what documentation and Incoterms do you normally supply?</x:v>
      </x:c>
      <x:c r="C7" s="67" t="str">
        <x:v>Reduces first-import friction.</x:v>
      </x:c>
      <x:c r="D7" s="67" t="str">
        <x:v>Preferred</x:v>
      </x:c>
      <x:c r="E7" s="77"/>
      <x:c r="F7" s="77"/>
      <x:c r="G7" s="77"/>
      <x:c r="H7" s="77"/>
      <x:c r="I7" s="77"/>
      <x:c r="J7" s="77"/>
      <x:c r="K7" s="77"/>
      <x:c r="L7" s="77"/>
      <x:c r="M7" s="77"/>
      <x:c r="N7" s="77"/>
      <x:c r="O7" s="77"/>
      <x:c r="P7" s="77"/>
      <x:c r="Q7" s="77"/>
      <x:c r="R7" s="77"/>
      <x:c r="S7" s="77"/>
      <x:c r="T7" s="77"/>
      <x:c r="U7" s="77"/>
      <x:c r="V7" s="77"/>
      <x:c r="W7" s="77"/>
      <x:c r="X7" s="77"/>
      <x:c r="Y7" s="77"/>
      <x:c r="Z7" s="77"/>
    </x:row>
    <x:row r="8">
      <x:c r="A8" s="67" t="str">
        <x:v>MOQ</x:v>
      </x:c>
      <x:c r="B8" s="67" t="str">
        <x:v>What is your MOQ per lot for unbranded bulk tea? Can you support a 5–20kg launch lot before scaling?</x:v>
      </x:c>
      <x:c r="C8" s="67" t="str">
        <x:v>Casa must test demand without dead stock.</x:v>
      </x:c>
      <x:c r="D8" s="67" t="str">
        <x:v>Required</x:v>
      </x:c>
      <x:c r="E8" s="77"/>
      <x:c r="F8" s="77"/>
      <x:c r="G8" s="77"/>
      <x:c r="H8" s="77"/>
      <x:c r="I8" s="77"/>
      <x:c r="J8" s="77"/>
      <x:c r="K8" s="77"/>
      <x:c r="L8" s="77"/>
      <x:c r="M8" s="77"/>
      <x:c r="N8" s="77"/>
      <x:c r="O8" s="77"/>
      <x:c r="P8" s="77"/>
      <x:c r="Q8" s="77"/>
      <x:c r="R8" s="77"/>
      <x:c r="S8" s="77"/>
      <x:c r="T8" s="77"/>
      <x:c r="U8" s="77"/>
      <x:c r="V8" s="77"/>
      <x:c r="W8" s="77"/>
      <x:c r="X8" s="77"/>
      <x:c r="Y8" s="77"/>
      <x:c r="Z8" s="77"/>
    </x:row>
    <x:row r="9">
      <x:c r="A9" s="67" t="str">
        <x:v>Pricing</x:v>
      </x:c>
      <x:c r="B9" s="67" t="str">
        <x:v>Quote sample price, 10kg, 25kg, 50kg and 100kg tiers, preferably EXW and FOB.</x:v>
      </x:c>
      <x:c r="C9" s="67" t="str">
        <x:v>Allows margin model and scale planning.</x:v>
      </x:c>
      <x:c r="D9" s="67" t="str">
        <x:v>Required</x:v>
      </x:c>
      <x:c r="E9" s="77"/>
      <x:c r="F9" s="77"/>
      <x:c r="G9" s="77"/>
      <x:c r="H9" s="77"/>
      <x:c r="I9" s="77"/>
      <x:c r="J9" s="77"/>
      <x:c r="K9" s="77"/>
      <x:c r="L9" s="77"/>
      <x:c r="M9" s="77"/>
      <x:c r="N9" s="77"/>
      <x:c r="O9" s="77"/>
      <x:c r="P9" s="77"/>
      <x:c r="Q9" s="77"/>
      <x:c r="R9" s="77"/>
      <x:c r="S9" s="77"/>
      <x:c r="T9" s="77"/>
      <x:c r="U9" s="77"/>
      <x:c r="V9" s="77"/>
      <x:c r="W9" s="77"/>
      <x:c r="X9" s="77"/>
      <x:c r="Y9" s="77"/>
      <x:c r="Z9" s="77"/>
    </x:row>
    <x:row r="10">
      <x:c r="A10" s="67" t="str">
        <x:v>Branding</x:v>
      </x:c>
      <x:c r="B10" s="67" t="str">
        <x:v>Can tea be supplied completely unbranded for packing under CASA 1569? Are there any restrictions on naming the estate/producer?</x:v>
      </x:c>
      <x:c r="C10" s="67" t="str">
        <x:v>Avoids IP/representation conflict.</x:v>
      </x:c>
      <x:c r="D10" s="67" t="str">
        <x:v>Required</x:v>
      </x:c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  <x:c r="S10" s="77"/>
      <x:c r="T10" s="77"/>
      <x:c r="U10" s="77"/>
      <x:c r="V10" s="77"/>
      <x:c r="W10" s="77"/>
      <x:c r="X10" s="77"/>
      <x:c r="Y10" s="77"/>
      <x:c r="Z10" s="77"/>
    </x:row>
    <x:row r="11">
      <x:c r="A11" s="67" t="str">
        <x:v>Exclusivity</x:v>
      </x:c>
      <x:c r="B11" s="67" t="str">
        <x:v>Would you consider Australian channel exclusivity for a specific lot/grade once annual volumes reach an agreed threshold?</x:v>
      </x:c>
      <x:c r="C11" s="67" t="str">
        <x:v>Future defensibility.</x:v>
      </x:c>
      <x:c r="D11" s="67" t="str">
        <x:v>Later</x:v>
      </x:c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  <x:c r="O11" s="77"/>
      <x:c r="P11" s="77"/>
      <x:c r="Q11" s="77"/>
      <x:c r="R11" s="77"/>
      <x:c r="S11" s="77"/>
      <x:c r="T11" s="77"/>
      <x:c r="U11" s="77"/>
      <x:c r="V11" s="77"/>
      <x:c r="W11" s="77"/>
      <x:c r="X11" s="77"/>
      <x:c r="Y11" s="77"/>
      <x:c r="Z11" s="77"/>
    </x:row>
    <x:row r="12">
      <x:c r="A12" s="67" t="str">
        <x:v>Continuity</x:v>
      </x:c>
      <x:c r="B12" s="67" t="str">
        <x:v>How much of this lot exists, and what comparable replacement can you offer when the harvest sells out?</x:v>
      </x:c>
      <x:c r="C12" s="67" t="str">
        <x:v>Prevents broken subscriptions/reorders.</x:v>
      </x:c>
      <x:c r="D12" s="67" t="str">
        <x:v>Required</x:v>
      </x:c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  <x:c r="O12" s="77"/>
      <x:c r="P12" s="77"/>
      <x:c r="Q12" s="77"/>
      <x:c r="R12" s="77"/>
      <x:c r="S12" s="77"/>
      <x:c r="T12" s="77"/>
      <x:c r="U12" s="77"/>
      <x:c r="V12" s="77"/>
      <x:c r="W12" s="77"/>
      <x:c r="X12" s="77"/>
      <x:c r="Y12" s="77"/>
      <x:c r="Z12" s="77"/>
    </x:row>
    <x:row r="13">
      <x:c r="A13" s="67" t="str">
        <x:v>Story assets</x:v>
      </x:c>
      <x:c r="B13" s="67" t="str">
        <x:v>Can CASA 1569 use approved estate photography, farmer profiles, harvest information and origin maps with attribution?</x:v>
      </x:c>
      <x:c r="C13" s="67" t="str">
        <x:v>Brand storytelling needs permissions.</x:v>
      </x:c>
      <x:c r="D13" s="67" t="str">
        <x:v>Preferred</x:v>
      </x:c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  <x:c r="O13" s="77"/>
      <x:c r="P13" s="77"/>
      <x:c r="Q13" s="77"/>
      <x:c r="R13" s="77"/>
      <x:c r="S13" s="77"/>
      <x:c r="T13" s="77"/>
      <x:c r="U13" s="77"/>
      <x:c r="V13" s="77"/>
      <x:c r="W13" s="77"/>
      <x:c r="X13" s="77"/>
      <x:c r="Y13" s="77"/>
      <x:c r="Z13" s="77"/>
    </x:row>
    <x:row r="14">
      <x:c r="A14" s="67" t="str">
        <x:v>Packing</x:v>
      </x:c>
      <x:c r="B14" s="67" t="str">
        <x:v>If you offer packing, what tins/pouches/weights/label formats can you supply and at what MOQ?</x:v>
      </x:c>
      <x:c r="C14" s="67" t="str">
        <x:v>Compare origin packing vs Australian co-pack.</x:v>
      </x:c>
      <x:c r="D14" s="67" t="str">
        <x:v>Optional</x:v>
      </x:c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  <x:c r="O14" s="77"/>
      <x:c r="P14" s="77"/>
      <x:c r="Q14" s="77"/>
      <x:c r="R14" s="77"/>
      <x:c r="S14" s="77"/>
      <x:c r="T14" s="77"/>
      <x:c r="U14" s="77"/>
      <x:c r="V14" s="77"/>
      <x:c r="W14" s="77"/>
      <x:c r="X14" s="77"/>
      <x:c r="Y14" s="77"/>
      <x:c r="Z14" s="77"/>
    </x:row>
    <x:row r="15">
      <x:c r="A15" s="67" t="str">
        <x:v>Payment</x:v>
      </x:c>
      <x:c r="B15" s="67" t="str">
        <x:v>What deposit/payment terms apply to first orders and repeat orders?</x:v>
      </x:c>
      <x:c r="C15" s="67" t="str">
        <x:v>Cash-flow control.</x:v>
      </x:c>
      <x:c r="D15" s="67" t="str">
        <x:v>Required</x:v>
      </x:c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  <x:c r="O15" s="77"/>
      <x:c r="P15" s="77"/>
      <x:c r="Q15" s="77"/>
      <x:c r="R15" s="77"/>
      <x:c r="S15" s="77"/>
      <x:c r="T15" s="77"/>
      <x:c r="U15" s="77"/>
      <x:c r="V15" s="77"/>
      <x:c r="W15" s="77"/>
      <x:c r="X15" s="77"/>
      <x:c r="Y15" s="77"/>
      <x:c r="Z15" s="77"/>
    </x:row>
    <x:row r="16">
      <x:c r="A16" s="67" t="str">
        <x:v>Lead time</x:v>
      </x:c>
      <x:c r="B16" s="67" t="str">
        <x:v>Sample lead time, production lead time and export lead time to Sydney/Melbourne?</x:v>
      </x:c>
      <x:c r="C16" s="67" t="str">
        <x:v>Launch planning.</x:v>
      </x:c>
      <x:c r="D16" s="67" t="str">
        <x:v>Required</x:v>
      </x:c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  <x:c r="O16" s="77"/>
      <x:c r="P16" s="77"/>
      <x:c r="Q16" s="77"/>
      <x:c r="R16" s="77"/>
      <x:c r="S16" s="77"/>
      <x:c r="T16" s="77"/>
      <x:c r="U16" s="77"/>
      <x:c r="V16" s="77"/>
      <x:c r="W16" s="77"/>
      <x:c r="X16" s="77"/>
      <x:c r="Y16" s="77"/>
      <x:c r="Z16" s="77"/>
    </x:row>
    <x:row r="17">
      <x:c r="A17" s="77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  <x:c r="O17" s="77"/>
      <x:c r="P17" s="77"/>
      <x:c r="Q17" s="77"/>
      <x:c r="R17" s="77"/>
      <x:c r="S17" s="77"/>
      <x:c r="T17" s="77"/>
      <x:c r="U17" s="77"/>
      <x:c r="V17" s="77"/>
      <x:c r="W17" s="77"/>
      <x:c r="X17" s="77"/>
      <x:c r="Y17" s="77"/>
      <x:c r="Z17" s="77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77"/>
      <x:c r="R18" s="77"/>
      <x:c r="S18" s="77"/>
      <x:c r="T18" s="77"/>
      <x:c r="U18" s="77"/>
      <x:c r="V18" s="77"/>
      <x:c r="W18" s="77"/>
      <x:c r="X18" s="77"/>
      <x:c r="Y18" s="77"/>
      <x:c r="Z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  <x:c r="R19" s="77"/>
      <x:c r="S19" s="77"/>
      <x:c r="T19" s="77"/>
      <x:c r="U19" s="77"/>
      <x:c r="V19" s="77"/>
      <x:c r="W19" s="77"/>
      <x:c r="X19" s="77"/>
      <x:c r="Y19" s="77"/>
      <x:c r="Z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  <x:c r="S20" s="77"/>
      <x:c r="T20" s="77"/>
      <x:c r="U20" s="77"/>
      <x:c r="V20" s="77"/>
      <x:c r="W20" s="77"/>
      <x:c r="X20" s="77"/>
      <x:c r="Y20" s="77"/>
      <x:c r="Z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  <x:c r="O21" s="77"/>
      <x:c r="P21" s="77"/>
      <x:c r="Q21" s="77"/>
      <x:c r="R21" s="77"/>
      <x:c r="S21" s="77"/>
      <x:c r="T21" s="77"/>
      <x:c r="U21" s="77"/>
      <x:c r="V21" s="77"/>
      <x:c r="W21" s="77"/>
      <x:c r="X21" s="77"/>
      <x:c r="Y21" s="77"/>
      <x:c r="Z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77"/>
      <x:c r="R22" s="77"/>
      <x:c r="S22" s="77"/>
      <x:c r="T22" s="77"/>
      <x:c r="U22" s="77"/>
      <x:c r="V22" s="77"/>
      <x:c r="W22" s="77"/>
      <x:c r="X22" s="77"/>
      <x:c r="Y22" s="77"/>
      <x:c r="Z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77"/>
      <x:c r="P23" s="77"/>
      <x:c r="Q23" s="77"/>
      <x:c r="R23" s="77"/>
      <x:c r="S23" s="77"/>
      <x:c r="T23" s="77"/>
      <x:c r="U23" s="77"/>
      <x:c r="V23" s="77"/>
      <x:c r="W23" s="77"/>
      <x:c r="X23" s="77"/>
      <x:c r="Y23" s="77"/>
      <x:c r="Z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  <x:c r="S24" s="77"/>
      <x:c r="T24" s="77"/>
      <x:c r="U24" s="77"/>
      <x:c r="V24" s="77"/>
      <x:c r="W24" s="77"/>
      <x:c r="X24" s="77"/>
      <x:c r="Y24" s="77"/>
      <x:c r="Z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  <x:c r="O25" s="77"/>
      <x:c r="P25" s="77"/>
      <x:c r="Q25" s="77"/>
      <x:c r="R25" s="77"/>
      <x:c r="S25" s="77"/>
      <x:c r="T25" s="77"/>
      <x:c r="U25" s="77"/>
      <x:c r="V25" s="77"/>
      <x:c r="W25" s="77"/>
      <x:c r="X25" s="77"/>
      <x:c r="Y25" s="77"/>
      <x:c r="Z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77"/>
      <x:c r="P26" s="77"/>
      <x:c r="Q26" s="77"/>
      <x:c r="R26" s="77"/>
      <x:c r="S26" s="77"/>
      <x:c r="T26" s="77"/>
      <x:c r="U26" s="77"/>
      <x:c r="V26" s="77"/>
      <x:c r="W26" s="77"/>
      <x:c r="X26" s="77"/>
      <x:c r="Y26" s="77"/>
      <x:c r="Z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77"/>
      <x:c r="P27" s="77"/>
      <x:c r="Q27" s="77"/>
      <x:c r="R27" s="77"/>
      <x:c r="S27" s="77"/>
      <x:c r="T27" s="77"/>
      <x:c r="U27" s="77"/>
      <x:c r="V27" s="77"/>
      <x:c r="W27" s="77"/>
      <x:c r="X27" s="77"/>
      <x:c r="Y27" s="77"/>
      <x:c r="Z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77"/>
      <x:c r="P28" s="77"/>
      <x:c r="Q28" s="77"/>
      <x:c r="R28" s="77"/>
      <x:c r="S28" s="77"/>
      <x:c r="T28" s="77"/>
      <x:c r="U28" s="77"/>
      <x:c r="V28" s="77"/>
      <x:c r="W28" s="77"/>
      <x:c r="X28" s="77"/>
      <x:c r="Y28" s="77"/>
      <x:c r="Z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77"/>
      <x:c r="P29" s="77"/>
      <x:c r="Q29" s="77"/>
      <x:c r="R29" s="77"/>
      <x:c r="S29" s="77"/>
      <x:c r="T29" s="77"/>
      <x:c r="U29" s="77"/>
      <x:c r="V29" s="77"/>
      <x:c r="W29" s="77"/>
      <x:c r="X29" s="77"/>
      <x:c r="Y29" s="77"/>
      <x:c r="Z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77"/>
      <x:c r="R30" s="77"/>
      <x:c r="S30" s="77"/>
      <x:c r="T30" s="77"/>
      <x:c r="U30" s="77"/>
      <x:c r="V30" s="77"/>
      <x:c r="W30" s="77"/>
      <x:c r="X30" s="77"/>
      <x:c r="Y30" s="77"/>
      <x:c r="Z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  <x:c r="O31" s="77"/>
      <x:c r="P31" s="77"/>
      <x:c r="Q31" s="77"/>
      <x:c r="R31" s="77"/>
      <x:c r="S31" s="77"/>
      <x:c r="T31" s="77"/>
      <x:c r="U31" s="77"/>
      <x:c r="V31" s="77"/>
      <x:c r="W31" s="77"/>
      <x:c r="X31" s="77"/>
      <x:c r="Y31" s="77"/>
      <x:c r="Z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7"/>
      <x:c r="Q32" s="77"/>
      <x:c r="R32" s="77"/>
      <x:c r="S32" s="77"/>
      <x:c r="T32" s="77"/>
      <x:c r="U32" s="77"/>
      <x:c r="V32" s="77"/>
      <x:c r="W32" s="77"/>
      <x:c r="X32" s="77"/>
      <x:c r="Y32" s="77"/>
      <x:c r="Z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  <x:c r="O33" s="77"/>
      <x:c r="P33" s="77"/>
      <x:c r="Q33" s="77"/>
      <x:c r="R33" s="77"/>
      <x:c r="S33" s="77"/>
      <x:c r="T33" s="77"/>
      <x:c r="U33" s="77"/>
      <x:c r="V33" s="77"/>
      <x:c r="W33" s="77"/>
      <x:c r="X33" s="77"/>
      <x:c r="Y33" s="77"/>
      <x:c r="Z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7"/>
      <x:c r="Q34" s="77"/>
      <x:c r="R34" s="77"/>
      <x:c r="S34" s="77"/>
      <x:c r="T34" s="77"/>
      <x:c r="U34" s="77"/>
      <x:c r="V34" s="77"/>
      <x:c r="W34" s="77"/>
      <x:c r="X34" s="77"/>
      <x:c r="Y34" s="77"/>
      <x:c r="Z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  <x:c r="O35" s="77"/>
      <x:c r="P35" s="77"/>
      <x:c r="Q35" s="77"/>
      <x:c r="R35" s="77"/>
      <x:c r="S35" s="77"/>
      <x:c r="T35" s="77"/>
      <x:c r="U35" s="77"/>
      <x:c r="V35" s="77"/>
      <x:c r="W35" s="77"/>
      <x:c r="X35" s="77"/>
      <x:c r="Y35" s="77"/>
      <x:c r="Z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  <x:c r="S36" s="77"/>
      <x:c r="T36" s="77"/>
      <x:c r="U36" s="77"/>
      <x:c r="V36" s="77"/>
      <x:c r="W36" s="77"/>
      <x:c r="X36" s="77"/>
      <x:c r="Y36" s="77"/>
      <x:c r="Z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  <x:c r="O37" s="77"/>
      <x:c r="P37" s="77"/>
      <x:c r="Q37" s="77"/>
      <x:c r="R37" s="77"/>
      <x:c r="S37" s="77"/>
      <x:c r="T37" s="77"/>
      <x:c r="U37" s="77"/>
      <x:c r="V37" s="77"/>
      <x:c r="W37" s="77"/>
      <x:c r="X37" s="77"/>
      <x:c r="Y37" s="77"/>
      <x:c r="Z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77"/>
      <x:c r="P38" s="77"/>
      <x:c r="Q38" s="77"/>
      <x:c r="R38" s="77"/>
      <x:c r="S38" s="77"/>
      <x:c r="T38" s="77"/>
      <x:c r="U38" s="77"/>
      <x:c r="V38" s="77"/>
      <x:c r="W38" s="77"/>
      <x:c r="X38" s="77"/>
      <x:c r="Y38" s="77"/>
      <x:c r="Z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  <x:c r="O39" s="77"/>
      <x:c r="P39" s="77"/>
      <x:c r="Q39" s="77"/>
      <x:c r="R39" s="77"/>
      <x:c r="S39" s="77"/>
      <x:c r="T39" s="77"/>
      <x:c r="U39" s="77"/>
      <x:c r="V39" s="77"/>
      <x:c r="W39" s="77"/>
      <x:c r="X39" s="77"/>
      <x:c r="Y39" s="77"/>
      <x:c r="Z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7"/>
      <x:c r="Q40" s="77"/>
      <x:c r="R40" s="77"/>
      <x:c r="S40" s="77"/>
      <x:c r="T40" s="77"/>
      <x:c r="U40" s="77"/>
      <x:c r="V40" s="77"/>
      <x:c r="W40" s="77"/>
      <x:c r="X40" s="77"/>
      <x:c r="Y40" s="77"/>
      <x:c r="Z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  <x:c r="O41" s="77"/>
      <x:c r="P41" s="77"/>
      <x:c r="Q41" s="77"/>
      <x:c r="R41" s="77"/>
      <x:c r="S41" s="77"/>
      <x:c r="T41" s="77"/>
      <x:c r="U41" s="77"/>
      <x:c r="V41" s="77"/>
      <x:c r="W41" s="77"/>
      <x:c r="X41" s="77"/>
      <x:c r="Y41" s="77"/>
      <x:c r="Z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  <x:c r="O42" s="77"/>
      <x:c r="P42" s="77"/>
      <x:c r="Q42" s="77"/>
      <x:c r="R42" s="77"/>
      <x:c r="S42" s="77"/>
      <x:c r="T42" s="77"/>
      <x:c r="U42" s="77"/>
      <x:c r="V42" s="77"/>
      <x:c r="W42" s="77"/>
      <x:c r="X42" s="77"/>
      <x:c r="Y42" s="77"/>
      <x:c r="Z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  <x:c r="O43" s="77"/>
      <x:c r="P43" s="77"/>
      <x:c r="Q43" s="77"/>
      <x:c r="R43" s="77"/>
      <x:c r="S43" s="77"/>
      <x:c r="T43" s="77"/>
      <x:c r="U43" s="77"/>
      <x:c r="V43" s="77"/>
      <x:c r="W43" s="77"/>
      <x:c r="X43" s="77"/>
      <x:c r="Y43" s="77"/>
      <x:c r="Z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  <x:c r="O44" s="77"/>
      <x:c r="P44" s="77"/>
      <x:c r="Q44" s="77"/>
      <x:c r="R44" s="77"/>
      <x:c r="S44" s="77"/>
      <x:c r="T44" s="77"/>
      <x:c r="U44" s="77"/>
      <x:c r="V44" s="77"/>
      <x:c r="W44" s="77"/>
      <x:c r="X44" s="77"/>
      <x:c r="Y44" s="77"/>
      <x:c r="Z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  <x:c r="O45" s="77"/>
      <x:c r="P45" s="77"/>
      <x:c r="Q45" s="77"/>
      <x:c r="R45" s="77"/>
      <x:c r="S45" s="77"/>
      <x:c r="T45" s="77"/>
      <x:c r="U45" s="77"/>
      <x:c r="V45" s="77"/>
      <x:c r="W45" s="77"/>
      <x:c r="X45" s="77"/>
      <x:c r="Y45" s="77"/>
      <x:c r="Z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  <x:c r="O46" s="77"/>
      <x:c r="P46" s="77"/>
      <x:c r="Q46" s="77"/>
      <x:c r="R46" s="77"/>
      <x:c r="S46" s="77"/>
      <x:c r="T46" s="77"/>
      <x:c r="U46" s="77"/>
      <x:c r="V46" s="77"/>
      <x:c r="W46" s="77"/>
      <x:c r="X46" s="77"/>
      <x:c r="Y46" s="77"/>
      <x:c r="Z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  <x:c r="O47" s="77"/>
      <x:c r="P47" s="77"/>
      <x:c r="Q47" s="77"/>
      <x:c r="R47" s="77"/>
      <x:c r="S47" s="77"/>
      <x:c r="T47" s="77"/>
      <x:c r="U47" s="77"/>
      <x:c r="V47" s="77"/>
      <x:c r="W47" s="77"/>
      <x:c r="X47" s="77"/>
      <x:c r="Y47" s="77"/>
      <x:c r="Z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77"/>
      <x:c r="P48" s="77"/>
      <x:c r="Q48" s="77"/>
      <x:c r="R48" s="77"/>
      <x:c r="S48" s="77"/>
      <x:c r="T48" s="77"/>
      <x:c r="U48" s="77"/>
      <x:c r="V48" s="77"/>
      <x:c r="W48" s="77"/>
      <x:c r="X48" s="77"/>
      <x:c r="Y48" s="77"/>
      <x:c r="Z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77"/>
      <x:c r="P49" s="77"/>
      <x:c r="Q49" s="77"/>
      <x:c r="R49" s="77"/>
      <x:c r="S49" s="77"/>
      <x:c r="T49" s="77"/>
      <x:c r="U49" s="77"/>
      <x:c r="V49" s="77"/>
      <x:c r="W49" s="77"/>
      <x:c r="X49" s="77"/>
      <x:c r="Y49" s="77"/>
      <x:c r="Z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  <x:c r="S50" s="77"/>
      <x:c r="T50" s="77"/>
      <x:c r="U50" s="77"/>
      <x:c r="V50" s="77"/>
      <x:c r="W50" s="77"/>
      <x:c r="X50" s="77"/>
      <x:c r="Y50" s="77"/>
      <x:c r="Z50" s="77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42" hidden="0" customWidth="1"/>
    <x:col min="4" max="4" width="36" hidden="0" customWidth="1"/>
    <x:col min="5" max="5" width="32" hidden="0" customWidth="1"/>
    <x:col min="6" max="6" width="27" hidden="0" customWidth="1"/>
    <x:col min="7" max="7" width="48" hidden="0" customWidth="1"/>
    <x:col min="8" max="8" width="55" hidden="0" customWidth="1"/>
  </x:cols>
  <x:sheetData>
    <x:row r="1" ht="28" customHeight="1">
      <x:c r="A1" s="115" t="str">
        <x:v>CASA 1569 — Recommended Australian Operating Model</x:v>
      </x:c>
      <x:c r="B1" s="115"/>
      <x:c r="C1" s="115"/>
      <x:c r="D1" s="115"/>
      <x:c r="E1" s="115"/>
      <x:c r="F1" s="115"/>
      <x:c r="G1" s="115"/>
      <x:c r="H1" s="115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3">
      <x:c r="A3" s="91" t="str">
        <x:v>Stage</x:v>
      </x:c>
      <x:c r="B3" s="91" t="str">
        <x:v>Party</x:v>
      </x:c>
      <x:c r="C3" s="91" t="str">
        <x:v>Responsibility</x:v>
      </x:c>
      <x:c r="D3" s="91" t="str">
        <x:v>Casa Keeps Control Of</x:v>
      </x:c>
      <x:c r="E3" s="91" t="str">
        <x:v>Why</x:v>
      </x:c>
      <x:c r="F3" s="91" t="str">
        <x:v>Current Candidate</x:v>
      </x:c>
      <x:c r="G3" s="91" t="str">
        <x:v>Next Question</x:v>
      </x:c>
      <x:c r="H3" s="91" t="str">
        <x:v>Source</x:v>
      </x:c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  <x:c r="X3" s="77"/>
      <x:c r="Y3" s="77"/>
      <x:c r="Z3" s="77"/>
    </x:row>
    <x:row r="4">
      <x:c r="A4" s="67" t="str">
        <x:v>1. Origin sourcing</x:v>
      </x:c>
      <x:c r="B4" s="67" t="str">
        <x:v>CASA 1569 + producer</x:v>
      </x:c>
      <x:c r="C4" s="67" t="str">
        <x:v>Select named tea lots and negotiate supply</x:v>
      </x:c>
      <x:c r="D4" s="67" t="str">
        <x:v>Taste, provenance, supplier relationship</x:v>
      </x:c>
      <x:c r="E4" s="67" t="str">
        <x:v>Protects brand authenticity</x:v>
      </x:c>
      <x:c r="F4" s="67" t="str">
        <x:v>Direct origin suppliers</x:v>
      </x:c>
      <x:c r="G4" s="67" t="str">
        <x:v>Can you supply 5–20kg unbranded lots?</x:v>
      </x:c>
      <x:c r="H4" s="67" t="str">
        <x:v>See Sourcing Pipeline</x:v>
      </x:c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  <x:c r="Z4" s="77"/>
    </x:row>
    <x:row r="5">
      <x:c r="A5" s="67" t="str">
        <x:v>2. Import</x:v>
      </x:c>
      <x:c r="B5" s="67" t="str">
        <x:v>Australian importer/co-packer</x:v>
      </x:c>
      <x:c r="C5" s="67" t="str">
        <x:v>Customs/biosecurity handling and receiving</x:v>
      </x:c>
      <x:c r="D5" s="67" t="str">
        <x:v>Approved supplier and lot only</x:v>
      </x:c>
      <x:c r="E5" s="67" t="str">
        <x:v>Removes founder admin burden</x:v>
      </x:c>
      <x:c r="F5" s="67" t="str">
        <x:v>Australian Tea Masters</x:v>
      </x:c>
      <x:c r="G5" s="67" t="str">
        <x:v>Can you act as importer-of-record for Casa-selected supplier lots?</x:v>
      </x:c>
      <x:c r="H5" s="67" t="str">
        <x:v>https://australianteamasters.com.au/tea-importers-australia/</x:v>
      </x:c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>
      <x:c r="A6" s="67" t="str">
        <x:v>3. Packing</x:v>
      </x:c>
      <x:c r="B6" s="67" t="str">
        <x:v>Australian co-packer</x:v>
      </x:c>
      <x:c r="C6" s="67" t="str">
        <x:v>Fill Casa tins/pouches, batch/lot coding, retail pack</x:v>
      </x:c>
      <x:c r="D6" s="67" t="str">
        <x:v>Packaging, label artwork, fill weights</x:v>
      </x:c>
      <x:c r="E6" s="67" t="str">
        <x:v>Small-run flexibility + Australian QA</x:v>
      </x:c>
      <x:c r="F6" s="67" t="str">
        <x:v>Australian Tea Masters</x:v>
      </x:c>
      <x:c r="G6" s="67" t="str">
        <x:v>Quote 500 / 1,000 / 2,500 units across 5 SKUs</x:v>
      </x:c>
      <x:c r="H6" s="67" t="str">
        <x:v>https://australianteamasters.com.au/custom-tea-blending/</x:v>
      </x:c>
      <x:c r="I6" s="77"/>
      <x:c r="J6" s="77"/>
      <x:c r="K6" s="77"/>
      <x:c r="L6" s="77"/>
      <x:c r="M6" s="77"/>
      <x:c r="N6" s="77"/>
      <x:c r="O6" s="77"/>
      <x:c r="P6" s="77"/>
      <x:c r="Q6" s="77"/>
      <x:c r="R6" s="77"/>
      <x:c r="S6" s="77"/>
      <x:c r="T6" s="77"/>
      <x:c r="U6" s="77"/>
      <x:c r="V6" s="77"/>
      <x:c r="W6" s="77"/>
      <x:c r="X6" s="77"/>
      <x:c r="Y6" s="77"/>
      <x:c r="Z6" s="77"/>
    </x:row>
    <x:row r="7">
      <x:c r="A7" s="67" t="str">
        <x:v>4. Fulfilment</x:v>
      </x:c>
      <x:c r="B7" s="67" t="str">
        <x:v>3PL later; founder at pilot if desired</x:v>
      </x:c>
      <x:c r="C7" s="67" t="str">
        <x:v>Pick, pack, dispatch online orders</x:v>
      </x:c>
      <x:c r="D7" s="67" t="str">
        <x:v>Customer experience standards</x:v>
      </x:c>
      <x:c r="E7" s="67" t="str">
        <x:v>Scale without warehouse staff</x:v>
      </x:c>
      <x:c r="F7" s="67" t="str">
        <x:v>TBD</x:v>
      </x:c>
      <x:c r="G7" s="67" t="str">
        <x:v>Model break-even between self-fulfil and 3PL</x:v>
      </x:c>
      <x:c r="H7" s="67" t="str"/>
      <x:c r="I7" s="77"/>
      <x:c r="J7" s="77"/>
      <x:c r="K7" s="77"/>
      <x:c r="L7" s="77"/>
      <x:c r="M7" s="77"/>
      <x:c r="N7" s="77"/>
      <x:c r="O7" s="77"/>
      <x:c r="P7" s="77"/>
      <x:c r="Q7" s="77"/>
      <x:c r="R7" s="77"/>
      <x:c r="S7" s="77"/>
      <x:c r="T7" s="77"/>
      <x:c r="U7" s="77"/>
      <x:c r="V7" s="77"/>
      <x:c r="W7" s="77"/>
      <x:c r="X7" s="77"/>
      <x:c r="Y7" s="77"/>
      <x:c r="Z7" s="77"/>
    </x:row>
    <x:row r="8">
      <x:c r="A8" s="77"/>
      <x:c r="B8" s="77"/>
      <x:c r="C8" s="77"/>
      <x:c r="D8" s="77"/>
      <x:c r="E8" s="77"/>
      <x:c r="F8" s="77"/>
      <x:c r="G8" s="77"/>
      <x:c r="H8" s="77"/>
      <x:c r="I8" s="77"/>
      <x:c r="J8" s="77"/>
      <x:c r="K8" s="77"/>
      <x:c r="L8" s="77"/>
      <x:c r="M8" s="77"/>
      <x:c r="N8" s="77"/>
      <x:c r="O8" s="77"/>
      <x:c r="P8" s="77"/>
      <x:c r="Q8" s="77"/>
      <x:c r="R8" s="77"/>
      <x:c r="S8" s="77"/>
      <x:c r="T8" s="77"/>
      <x:c r="U8" s="77"/>
      <x:c r="V8" s="77"/>
      <x:c r="W8" s="77"/>
      <x:c r="X8" s="77"/>
      <x:c r="Y8" s="77"/>
      <x:c r="Z8" s="77"/>
    </x:row>
    <x:row r="9">
      <x:c r="A9" s="77"/>
      <x:c r="B9" s="77"/>
      <x:c r="C9" s="77"/>
      <x:c r="D9" s="77"/>
      <x:c r="E9" s="77"/>
      <x:c r="F9" s="77"/>
      <x:c r="G9" s="77"/>
      <x:c r="H9" s="77"/>
      <x:c r="I9" s="77"/>
      <x:c r="J9" s="77"/>
      <x:c r="K9" s="77"/>
      <x:c r="L9" s="77"/>
      <x:c r="M9" s="77"/>
      <x:c r="N9" s="77"/>
      <x:c r="O9" s="77"/>
      <x:c r="P9" s="77"/>
      <x:c r="Q9" s="77"/>
      <x:c r="R9" s="77"/>
      <x:c r="S9" s="77"/>
      <x:c r="T9" s="77"/>
      <x:c r="U9" s="77"/>
      <x:c r="V9" s="77"/>
      <x:c r="W9" s="77"/>
      <x:c r="X9" s="77"/>
      <x:c r="Y9" s="77"/>
      <x:c r="Z9" s="77"/>
    </x:row>
    <x:row r="10">
      <x:c r="A10" s="77"/>
      <x:c r="B10" s="77"/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  <x:c r="S10" s="77"/>
      <x:c r="T10" s="77"/>
      <x:c r="U10" s="77"/>
      <x:c r="V10" s="77"/>
      <x:c r="W10" s="77"/>
      <x:c r="X10" s="77"/>
      <x:c r="Y10" s="77"/>
      <x:c r="Z10" s="77"/>
    </x:row>
    <x:row r="11">
      <x:c r="A11" s="77"/>
      <x:c r="B11" s="77"/>
      <x:c r="C11" s="77"/>
      <x:c r="D11" s="77"/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  <x:c r="O11" s="77"/>
      <x:c r="P11" s="77"/>
      <x:c r="Q11" s="77"/>
      <x:c r="R11" s="77"/>
      <x:c r="S11" s="77"/>
      <x:c r="T11" s="77"/>
      <x:c r="U11" s="77"/>
      <x:c r="V11" s="77"/>
      <x:c r="W11" s="77"/>
      <x:c r="X11" s="77"/>
      <x:c r="Y11" s="77"/>
      <x:c r="Z11" s="77"/>
    </x:row>
    <x:row r="12">
      <x:c r="A12" s="77"/>
      <x:c r="B12" s="77"/>
      <x:c r="C12" s="77"/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  <x:c r="O12" s="77"/>
      <x:c r="P12" s="77"/>
      <x:c r="Q12" s="77"/>
      <x:c r="R12" s="77"/>
      <x:c r="S12" s="77"/>
      <x:c r="T12" s="77"/>
      <x:c r="U12" s="77"/>
      <x:c r="V12" s="77"/>
      <x:c r="W12" s="77"/>
      <x:c r="X12" s="77"/>
      <x:c r="Y12" s="77"/>
      <x:c r="Z12" s="77"/>
    </x:row>
    <x:row r="13">
      <x:c r="A13" s="77"/>
      <x:c r="B13" s="77"/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  <x:c r="O13" s="77"/>
      <x:c r="P13" s="77"/>
      <x:c r="Q13" s="77"/>
      <x:c r="R13" s="77"/>
      <x:c r="S13" s="77"/>
      <x:c r="T13" s="77"/>
      <x:c r="U13" s="77"/>
      <x:c r="V13" s="77"/>
      <x:c r="W13" s="77"/>
      <x:c r="X13" s="77"/>
      <x:c r="Y13" s="77"/>
      <x:c r="Z13" s="77"/>
    </x:row>
    <x:row r="14">
      <x:c r="A14" s="77"/>
      <x:c r="B14" s="77"/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  <x:c r="O14" s="77"/>
      <x:c r="P14" s="77"/>
      <x:c r="Q14" s="77"/>
      <x:c r="R14" s="77"/>
      <x:c r="S14" s="77"/>
      <x:c r="T14" s="77"/>
      <x:c r="U14" s="77"/>
      <x:c r="V14" s="77"/>
      <x:c r="W14" s="77"/>
      <x:c r="X14" s="77"/>
      <x:c r="Y14" s="77"/>
      <x:c r="Z14" s="77"/>
    </x:row>
    <x:row r="15">
      <x:c r="A15" s="77"/>
      <x:c r="B15" s="77"/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  <x:c r="O15" s="77"/>
      <x:c r="P15" s="77"/>
      <x:c r="Q15" s="77"/>
      <x:c r="R15" s="77"/>
      <x:c r="S15" s="77"/>
      <x:c r="T15" s="77"/>
      <x:c r="U15" s="77"/>
      <x:c r="V15" s="77"/>
      <x:c r="W15" s="77"/>
      <x:c r="X15" s="77"/>
      <x:c r="Y15" s="77"/>
      <x:c r="Z15" s="77"/>
    </x:row>
    <x:row r="16">
      <x:c r="A16" s="77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  <x:c r="O16" s="77"/>
      <x:c r="P16" s="77"/>
      <x:c r="Q16" s="77"/>
      <x:c r="R16" s="77"/>
      <x:c r="S16" s="77"/>
      <x:c r="T16" s="77"/>
      <x:c r="U16" s="77"/>
      <x:c r="V16" s="77"/>
      <x:c r="W16" s="77"/>
      <x:c r="X16" s="77"/>
      <x:c r="Y16" s="77"/>
      <x:c r="Z16" s="77"/>
    </x:row>
    <x:row r="17">
      <x:c r="A17" s="77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  <x:c r="O17" s="77"/>
      <x:c r="P17" s="77"/>
      <x:c r="Q17" s="77"/>
      <x:c r="R17" s="77"/>
      <x:c r="S17" s="77"/>
      <x:c r="T17" s="77"/>
      <x:c r="U17" s="77"/>
      <x:c r="V17" s="77"/>
      <x:c r="W17" s="77"/>
      <x:c r="X17" s="77"/>
      <x:c r="Y17" s="77"/>
      <x:c r="Z17" s="77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77"/>
      <x:c r="R18" s="77"/>
      <x:c r="S18" s="77"/>
      <x:c r="T18" s="77"/>
      <x:c r="U18" s="77"/>
      <x:c r="V18" s="77"/>
      <x:c r="W18" s="77"/>
      <x:c r="X18" s="77"/>
      <x:c r="Y18" s="77"/>
      <x:c r="Z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  <x:c r="R19" s="77"/>
      <x:c r="S19" s="77"/>
      <x:c r="T19" s="77"/>
      <x:c r="U19" s="77"/>
      <x:c r="V19" s="77"/>
      <x:c r="W19" s="77"/>
      <x:c r="X19" s="77"/>
      <x:c r="Y19" s="77"/>
      <x:c r="Z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  <x:c r="S20" s="77"/>
      <x:c r="T20" s="77"/>
      <x:c r="U20" s="77"/>
      <x:c r="V20" s="77"/>
      <x:c r="W20" s="77"/>
      <x:c r="X20" s="77"/>
      <x:c r="Y20" s="77"/>
      <x:c r="Z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  <x:c r="O21" s="77"/>
      <x:c r="P21" s="77"/>
      <x:c r="Q21" s="77"/>
      <x:c r="R21" s="77"/>
      <x:c r="S21" s="77"/>
      <x:c r="T21" s="77"/>
      <x:c r="U21" s="77"/>
      <x:c r="V21" s="77"/>
      <x:c r="W21" s="77"/>
      <x:c r="X21" s="77"/>
      <x:c r="Y21" s="77"/>
      <x:c r="Z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77"/>
      <x:c r="R22" s="77"/>
      <x:c r="S22" s="77"/>
      <x:c r="T22" s="77"/>
      <x:c r="U22" s="77"/>
      <x:c r="V22" s="77"/>
      <x:c r="W22" s="77"/>
      <x:c r="X22" s="77"/>
      <x:c r="Y22" s="77"/>
      <x:c r="Z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77"/>
      <x:c r="P23" s="77"/>
      <x:c r="Q23" s="77"/>
      <x:c r="R23" s="77"/>
      <x:c r="S23" s="77"/>
      <x:c r="T23" s="77"/>
      <x:c r="U23" s="77"/>
      <x:c r="V23" s="77"/>
      <x:c r="W23" s="77"/>
      <x:c r="X23" s="77"/>
      <x:c r="Y23" s="77"/>
      <x:c r="Z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  <x:c r="S24" s="77"/>
      <x:c r="T24" s="77"/>
      <x:c r="U24" s="77"/>
      <x:c r="V24" s="77"/>
      <x:c r="W24" s="77"/>
      <x:c r="X24" s="77"/>
      <x:c r="Y24" s="77"/>
      <x:c r="Z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  <x:c r="O25" s="77"/>
      <x:c r="P25" s="77"/>
      <x:c r="Q25" s="77"/>
      <x:c r="R25" s="77"/>
      <x:c r="S25" s="77"/>
      <x:c r="T25" s="77"/>
      <x:c r="U25" s="77"/>
      <x:c r="V25" s="77"/>
      <x:c r="W25" s="77"/>
      <x:c r="X25" s="77"/>
      <x:c r="Y25" s="77"/>
      <x:c r="Z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77"/>
      <x:c r="P26" s="77"/>
      <x:c r="Q26" s="77"/>
      <x:c r="R26" s="77"/>
      <x:c r="S26" s="77"/>
      <x:c r="T26" s="77"/>
      <x:c r="U26" s="77"/>
      <x:c r="V26" s="77"/>
      <x:c r="W26" s="77"/>
      <x:c r="X26" s="77"/>
      <x:c r="Y26" s="77"/>
      <x:c r="Z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77"/>
      <x:c r="P27" s="77"/>
      <x:c r="Q27" s="77"/>
      <x:c r="R27" s="77"/>
      <x:c r="S27" s="77"/>
      <x:c r="T27" s="77"/>
      <x:c r="U27" s="77"/>
      <x:c r="V27" s="77"/>
      <x:c r="W27" s="77"/>
      <x:c r="X27" s="77"/>
      <x:c r="Y27" s="77"/>
      <x:c r="Z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77"/>
      <x:c r="P28" s="77"/>
      <x:c r="Q28" s="77"/>
      <x:c r="R28" s="77"/>
      <x:c r="S28" s="77"/>
      <x:c r="T28" s="77"/>
      <x:c r="U28" s="77"/>
      <x:c r="V28" s="77"/>
      <x:c r="W28" s="77"/>
      <x:c r="X28" s="77"/>
      <x:c r="Y28" s="77"/>
      <x:c r="Z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77"/>
      <x:c r="P29" s="77"/>
      <x:c r="Q29" s="77"/>
      <x:c r="R29" s="77"/>
      <x:c r="S29" s="77"/>
      <x:c r="T29" s="77"/>
      <x:c r="U29" s="77"/>
      <x:c r="V29" s="77"/>
      <x:c r="W29" s="77"/>
      <x:c r="X29" s="77"/>
      <x:c r="Y29" s="77"/>
      <x:c r="Z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77"/>
      <x:c r="R30" s="77"/>
      <x:c r="S30" s="77"/>
      <x:c r="T30" s="77"/>
      <x:c r="U30" s="77"/>
      <x:c r="V30" s="77"/>
      <x:c r="W30" s="77"/>
      <x:c r="X30" s="77"/>
      <x:c r="Y30" s="77"/>
      <x:c r="Z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  <x:c r="O31" s="77"/>
      <x:c r="P31" s="77"/>
      <x:c r="Q31" s="77"/>
      <x:c r="R31" s="77"/>
      <x:c r="S31" s="77"/>
      <x:c r="T31" s="77"/>
      <x:c r="U31" s="77"/>
      <x:c r="V31" s="77"/>
      <x:c r="W31" s="77"/>
      <x:c r="X31" s="77"/>
      <x:c r="Y31" s="77"/>
      <x:c r="Z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7"/>
      <x:c r="Q32" s="77"/>
      <x:c r="R32" s="77"/>
      <x:c r="S32" s="77"/>
      <x:c r="T32" s="77"/>
      <x:c r="U32" s="77"/>
      <x:c r="V32" s="77"/>
      <x:c r="W32" s="77"/>
      <x:c r="X32" s="77"/>
      <x:c r="Y32" s="77"/>
      <x:c r="Z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  <x:c r="O33" s="77"/>
      <x:c r="P33" s="77"/>
      <x:c r="Q33" s="77"/>
      <x:c r="R33" s="77"/>
      <x:c r="S33" s="77"/>
      <x:c r="T33" s="77"/>
      <x:c r="U33" s="77"/>
      <x:c r="V33" s="77"/>
      <x:c r="W33" s="77"/>
      <x:c r="X33" s="77"/>
      <x:c r="Y33" s="77"/>
      <x:c r="Z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7"/>
      <x:c r="Q34" s="77"/>
      <x:c r="R34" s="77"/>
      <x:c r="S34" s="77"/>
      <x:c r="T34" s="77"/>
      <x:c r="U34" s="77"/>
      <x:c r="V34" s="77"/>
      <x:c r="W34" s="77"/>
      <x:c r="X34" s="77"/>
      <x:c r="Y34" s="77"/>
      <x:c r="Z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  <x:c r="O35" s="77"/>
      <x:c r="P35" s="77"/>
      <x:c r="Q35" s="77"/>
      <x:c r="R35" s="77"/>
      <x:c r="S35" s="77"/>
      <x:c r="T35" s="77"/>
      <x:c r="U35" s="77"/>
      <x:c r="V35" s="77"/>
      <x:c r="W35" s="77"/>
      <x:c r="X35" s="77"/>
      <x:c r="Y35" s="77"/>
      <x:c r="Z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  <x:c r="S36" s="77"/>
      <x:c r="T36" s="77"/>
      <x:c r="U36" s="77"/>
      <x:c r="V36" s="77"/>
      <x:c r="W36" s="77"/>
      <x:c r="X36" s="77"/>
      <x:c r="Y36" s="77"/>
      <x:c r="Z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  <x:c r="O37" s="77"/>
      <x:c r="P37" s="77"/>
      <x:c r="Q37" s="77"/>
      <x:c r="R37" s="77"/>
      <x:c r="S37" s="77"/>
      <x:c r="T37" s="77"/>
      <x:c r="U37" s="77"/>
      <x:c r="V37" s="77"/>
      <x:c r="W37" s="77"/>
      <x:c r="X37" s="77"/>
      <x:c r="Y37" s="77"/>
      <x:c r="Z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77"/>
      <x:c r="P38" s="77"/>
      <x:c r="Q38" s="77"/>
      <x:c r="R38" s="77"/>
      <x:c r="S38" s="77"/>
      <x:c r="T38" s="77"/>
      <x:c r="U38" s="77"/>
      <x:c r="V38" s="77"/>
      <x:c r="W38" s="77"/>
      <x:c r="X38" s="77"/>
      <x:c r="Y38" s="77"/>
      <x:c r="Z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  <x:c r="O39" s="77"/>
      <x:c r="P39" s="77"/>
      <x:c r="Q39" s="77"/>
      <x:c r="R39" s="77"/>
      <x:c r="S39" s="77"/>
      <x:c r="T39" s="77"/>
      <x:c r="U39" s="77"/>
      <x:c r="V39" s="77"/>
      <x:c r="W39" s="77"/>
      <x:c r="X39" s="77"/>
      <x:c r="Y39" s="77"/>
      <x:c r="Z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7"/>
      <x:c r="Q40" s="77"/>
      <x:c r="R40" s="77"/>
      <x:c r="S40" s="77"/>
      <x:c r="T40" s="77"/>
      <x:c r="U40" s="77"/>
      <x:c r="V40" s="77"/>
      <x:c r="W40" s="77"/>
      <x:c r="X40" s="77"/>
      <x:c r="Y40" s="77"/>
      <x:c r="Z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  <x:c r="O41" s="77"/>
      <x:c r="P41" s="77"/>
      <x:c r="Q41" s="77"/>
      <x:c r="R41" s="77"/>
      <x:c r="S41" s="77"/>
      <x:c r="T41" s="77"/>
      <x:c r="U41" s="77"/>
      <x:c r="V41" s="77"/>
      <x:c r="W41" s="77"/>
      <x:c r="X41" s="77"/>
      <x:c r="Y41" s="77"/>
      <x:c r="Z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  <x:c r="O42" s="77"/>
      <x:c r="P42" s="77"/>
      <x:c r="Q42" s="77"/>
      <x:c r="R42" s="77"/>
      <x:c r="S42" s="77"/>
      <x:c r="T42" s="77"/>
      <x:c r="U42" s="77"/>
      <x:c r="V42" s="77"/>
      <x:c r="W42" s="77"/>
      <x:c r="X42" s="77"/>
      <x:c r="Y42" s="77"/>
      <x:c r="Z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  <x:c r="O43" s="77"/>
      <x:c r="P43" s="77"/>
      <x:c r="Q43" s="77"/>
      <x:c r="R43" s="77"/>
      <x:c r="S43" s="77"/>
      <x:c r="T43" s="77"/>
      <x:c r="U43" s="77"/>
      <x:c r="V43" s="77"/>
      <x:c r="W43" s="77"/>
      <x:c r="X43" s="77"/>
      <x:c r="Y43" s="77"/>
      <x:c r="Z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  <x:c r="O44" s="77"/>
      <x:c r="P44" s="77"/>
      <x:c r="Q44" s="77"/>
      <x:c r="R44" s="77"/>
      <x:c r="S44" s="77"/>
      <x:c r="T44" s="77"/>
      <x:c r="U44" s="77"/>
      <x:c r="V44" s="77"/>
      <x:c r="W44" s="77"/>
      <x:c r="X44" s="77"/>
      <x:c r="Y44" s="77"/>
      <x:c r="Z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  <x:c r="O45" s="77"/>
      <x:c r="P45" s="77"/>
      <x:c r="Q45" s="77"/>
      <x:c r="R45" s="77"/>
      <x:c r="S45" s="77"/>
      <x:c r="T45" s="77"/>
      <x:c r="U45" s="77"/>
      <x:c r="V45" s="77"/>
      <x:c r="W45" s="77"/>
      <x:c r="X45" s="77"/>
      <x:c r="Y45" s="77"/>
      <x:c r="Z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  <x:c r="O46" s="77"/>
      <x:c r="P46" s="77"/>
      <x:c r="Q46" s="77"/>
      <x:c r="R46" s="77"/>
      <x:c r="S46" s="77"/>
      <x:c r="T46" s="77"/>
      <x:c r="U46" s="77"/>
      <x:c r="V46" s="77"/>
      <x:c r="W46" s="77"/>
      <x:c r="X46" s="77"/>
      <x:c r="Y46" s="77"/>
      <x:c r="Z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  <x:c r="O47" s="77"/>
      <x:c r="P47" s="77"/>
      <x:c r="Q47" s="77"/>
      <x:c r="R47" s="77"/>
      <x:c r="S47" s="77"/>
      <x:c r="T47" s="77"/>
      <x:c r="U47" s="77"/>
      <x:c r="V47" s="77"/>
      <x:c r="W47" s="77"/>
      <x:c r="X47" s="77"/>
      <x:c r="Y47" s="77"/>
      <x:c r="Z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77"/>
      <x:c r="P48" s="77"/>
      <x:c r="Q48" s="77"/>
      <x:c r="R48" s="77"/>
      <x:c r="S48" s="77"/>
      <x:c r="T48" s="77"/>
      <x:c r="U48" s="77"/>
      <x:c r="V48" s="77"/>
      <x:c r="W48" s="77"/>
      <x:c r="X48" s="77"/>
      <x:c r="Y48" s="77"/>
      <x:c r="Z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77"/>
      <x:c r="P49" s="77"/>
      <x:c r="Q49" s="77"/>
      <x:c r="R49" s="77"/>
      <x:c r="S49" s="77"/>
      <x:c r="T49" s="77"/>
      <x:c r="U49" s="77"/>
      <x:c r="V49" s="77"/>
      <x:c r="W49" s="77"/>
      <x:c r="X49" s="77"/>
      <x:c r="Y49" s="77"/>
      <x:c r="Z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  <x:c r="S50" s="77"/>
      <x:c r="T50" s="77"/>
      <x:c r="U50" s="77"/>
      <x:c r="V50" s="77"/>
      <x:c r="W50" s="77"/>
      <x:c r="X50" s="77"/>
      <x:c r="Y50" s="77"/>
      <x:c r="Z50" s="77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14" hidden="0" customWidth="1"/>
    <x:col min="5" max="5" width="60" hidden="0" customWidth="1"/>
  </x:cols>
  <x:sheetData>
    <x:row r="1" ht="28" customHeight="1">
      <x:c r="A1" s="115" t="str">
        <x:v>CASA 1569 — Australia Import / Label Gate (Desk Check)</x:v>
      </x:c>
      <x:c r="B1" s="115"/>
      <x:c r="C1" s="115"/>
      <x:c r="D1" s="115"/>
      <x:c r="E1" s="115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3">
      <x:c r="A3" s="100" t="str">
        <x:v>Topic</x:v>
      </x:c>
      <x:c r="B3" s="100" t="str">
        <x:v>Current Position</x:v>
      </x:c>
      <x:c r="C3" s="100" t="str">
        <x:v>Casa Action</x:v>
      </x:c>
      <x:c r="D3" s="100" t="str">
        <x:v>Status</x:v>
      </x:c>
      <x:c r="E3" s="100" t="str">
        <x:v>Source</x:v>
      </x:c>
      <x:c r="F3" s="77"/>
      <x:c r="G3" s="77"/>
      <x:c r="H3" s="77"/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  <x:c r="X3" s="77"/>
      <x:c r="Y3" s="77"/>
      <x:c r="Z3" s="77"/>
    </x:row>
    <x:row r="4">
      <x:c r="A4" s="67" t="str">
        <x:v>Pure black/green/white tea</x:v>
      </x:c>
      <x:c r="B4" s="67" t="str">
        <x:v>Pure Camellia sinensis is considered minimal biosecurity risk and does not require an import permit; random inspections may still occur.</x:v>
      </x:c>
      <x:c r="C4" s="67" t="str">
        <x:v>Keep launch teas pure before adding botanical/herbal blends.</x:v>
      </x:c>
      <x:c r="D4" s="67" t="str">
        <x:v>Good</x:v>
      </x:c>
      <x:c r="E4" s="67" t="str">
        <x:v>https://www.agriculture.gov.au/biosecurity-trade/import/goods/plant-products/importing-plant-products-for-human-consumption</x:v>
      </x:c>
      <x:c r="F4" s="77"/>
      <x:c r="G4" s="77"/>
      <x:c r="H4" s="77"/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  <x:c r="Z4" s="77"/>
    </x:row>
    <x:row r="5">
      <x:c r="A5" s="67" t="str">
        <x:v>Commercial food import</x:v>
      </x:c>
      <x:c r="B5" s="67" t="str">
        <x:v>BICON also contains food-safety requirements for food intended for sale.</x:v>
      </x:c>
      <x:c r="C5" s="67" t="str">
        <x:v>Check the exact BICON pathway for each commercial consignment before shipment.</x:v>
      </x:c>
      <x:c r="D5" s="67" t="str">
        <x:v>Required</x:v>
      </x:c>
      <x:c r="E5" s="67" t="str">
        <x:v>https://bicon.agriculture.gov.au/</x:v>
      </x:c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>
      <x:c r="A6" s="67" t="str">
        <x:v>Country of origin</x:v>
      </x:c>
      <x:c r="B6" s="67" t="str">
        <x:v>Tea/coffee are non-priority foods but still require a text country-of-origin statement for retail sale.</x:v>
      </x:c>
      <x:c r="C6" s="67" t="str">
        <x:v>Design origin statement into back label from day one.</x:v>
      </x:c>
      <x:c r="D6" s="67" t="str">
        <x:v>Required</x:v>
      </x:c>
      <x:c r="E6" s="67" t="str">
        <x:v>https://www.accc.gov.au/business/advertising-and-promotions/country-of-origin-food-labelling</x:v>
      </x:c>
      <x:c r="F6" s="77"/>
      <x:c r="G6" s="77"/>
      <x:c r="H6" s="77"/>
      <x:c r="I6" s="77"/>
      <x:c r="J6" s="77"/>
      <x:c r="K6" s="77"/>
      <x:c r="L6" s="77"/>
      <x:c r="M6" s="77"/>
      <x:c r="N6" s="77"/>
      <x:c r="O6" s="77"/>
      <x:c r="P6" s="77"/>
      <x:c r="Q6" s="77"/>
      <x:c r="R6" s="77"/>
      <x:c r="S6" s="77"/>
      <x:c r="T6" s="77"/>
      <x:c r="U6" s="77"/>
      <x:c r="V6" s="77"/>
      <x:c r="W6" s="77"/>
      <x:c r="X6" s="77"/>
      <x:c r="Y6" s="77"/>
      <x:c r="Z6" s="77"/>
    </x:row>
    <x:row r="7">
      <x:c r="A7" s="67" t="str">
        <x:v>Australian packing claims</x:v>
      </x:c>
      <x:c r="B7" s="67" t="str">
        <x:v>Repacking in Australia does not automatically make an imported tea 'Made in Australia'.</x:v>
      </x:c>
      <x:c r="C7" s="67" t="str">
        <x:v>Use accurate wording such as 'Grown/Produced in [origin]; packed in Australia' where applicable after legal review.</x:v>
      </x:c>
      <x:c r="D7" s="67" t="str">
        <x:v>Required</x:v>
      </x:c>
      <x:c r="E7" s="67" t="str">
        <x:v>https://www.accc.gov.au/business/advertising-and-promotions/country-of-origin-claims</x:v>
      </x:c>
      <x:c r="F7" s="77"/>
      <x:c r="G7" s="77"/>
      <x:c r="H7" s="77"/>
      <x:c r="I7" s="77"/>
      <x:c r="J7" s="77"/>
      <x:c r="K7" s="77"/>
      <x:c r="L7" s="77"/>
      <x:c r="M7" s="77"/>
      <x:c r="N7" s="77"/>
      <x:c r="O7" s="77"/>
      <x:c r="P7" s="77"/>
      <x:c r="Q7" s="77"/>
      <x:c r="R7" s="77"/>
      <x:c r="S7" s="77"/>
      <x:c r="T7" s="77"/>
      <x:c r="U7" s="77"/>
      <x:c r="V7" s="77"/>
      <x:c r="W7" s="77"/>
      <x:c r="X7" s="77"/>
      <x:c r="Y7" s="77"/>
      <x:c r="Z7" s="77"/>
    </x:row>
    <x:row r="8">
      <x:c r="A8" s="67" t="str">
        <x:v>Herbal/blended teas</x:v>
      </x:c>
      <x:c r="B8" s="67" t="str">
        <x:v>Other teas can attract ingredient-specific biosecurity conditions.</x:v>
      </x:c>
      <x:c r="C8" s="67" t="str">
        <x:v>Delay herbal/functional blends until Phase 2 compliance process is built.</x:v>
      </x:c>
      <x:c r="D8" s="67" t="str">
        <x:v>Phase 2</x:v>
      </x:c>
      <x:c r="E8" s="67" t="str">
        <x:v>https://www.agriculture.gov.au/biosecurity-trade/import/goods/plant-products/importing-plant-products-for-human-consumption</x:v>
      </x:c>
      <x:c r="F8" s="77"/>
      <x:c r="G8" s="77"/>
      <x:c r="H8" s="77"/>
      <x:c r="I8" s="77"/>
      <x:c r="J8" s="77"/>
      <x:c r="K8" s="77"/>
      <x:c r="L8" s="77"/>
      <x:c r="M8" s="77"/>
      <x:c r="N8" s="77"/>
      <x:c r="O8" s="77"/>
      <x:c r="P8" s="77"/>
      <x:c r="Q8" s="77"/>
      <x:c r="R8" s="77"/>
      <x:c r="S8" s="77"/>
      <x:c r="T8" s="77"/>
      <x:c r="U8" s="77"/>
      <x:c r="V8" s="77"/>
      <x:c r="W8" s="77"/>
      <x:c r="X8" s="77"/>
      <x:c r="Y8" s="77"/>
      <x:c r="Z8" s="77"/>
    </x:row>
    <x:row r="9">
      <x:c r="A9" s="67" t="str">
        <x:v>Label/legal review</x:v>
      </x:c>
      <x:c r="B9" s="67" t="str">
        <x:v>Final retail labels must comply with applicable Australian food standards and consumer law.</x:v>
      </x:c>
      <x:c r="C9" s="67" t="str">
        <x:v>Have final artwork checked before printing production quantities.</x:v>
      </x:c>
      <x:c r="D9" s="67" t="str">
        <x:v>Required</x:v>
      </x:c>
      <x:c r="E9" s="67" t="str">
        <x:v>https://www.foodstandards.gov.au/</x:v>
      </x:c>
      <x:c r="F9" s="77"/>
      <x:c r="G9" s="77"/>
      <x:c r="H9" s="77"/>
      <x:c r="I9" s="77"/>
      <x:c r="J9" s="77"/>
      <x:c r="K9" s="77"/>
      <x:c r="L9" s="77"/>
      <x:c r="M9" s="77"/>
      <x:c r="N9" s="77"/>
      <x:c r="O9" s="77"/>
      <x:c r="P9" s="77"/>
      <x:c r="Q9" s="77"/>
      <x:c r="R9" s="77"/>
      <x:c r="S9" s="77"/>
      <x:c r="T9" s="77"/>
      <x:c r="U9" s="77"/>
      <x:c r="V9" s="77"/>
      <x:c r="W9" s="77"/>
      <x:c r="X9" s="77"/>
      <x:c r="Y9" s="77"/>
      <x:c r="Z9" s="77"/>
    </x:row>
    <x:row r="10">
      <x:c r="A10" s="77"/>
      <x:c r="B10" s="77"/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  <x:c r="S10" s="77"/>
      <x:c r="T10" s="77"/>
      <x:c r="U10" s="77"/>
      <x:c r="V10" s="77"/>
      <x:c r="W10" s="77"/>
      <x:c r="X10" s="77"/>
      <x:c r="Y10" s="77"/>
      <x:c r="Z10" s="77"/>
    </x:row>
    <x:row r="11">
      <x:c r="A11" s="77"/>
      <x:c r="B11" s="77"/>
      <x:c r="C11" s="77"/>
      <x:c r="D11" s="77"/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  <x:c r="O11" s="77"/>
      <x:c r="P11" s="77"/>
      <x:c r="Q11" s="77"/>
      <x:c r="R11" s="77"/>
      <x:c r="S11" s="77"/>
      <x:c r="T11" s="77"/>
      <x:c r="U11" s="77"/>
      <x:c r="V11" s="77"/>
      <x:c r="W11" s="77"/>
      <x:c r="X11" s="77"/>
      <x:c r="Y11" s="77"/>
      <x:c r="Z11" s="77"/>
    </x:row>
    <x:row r="12">
      <x:c r="A12" s="77"/>
      <x:c r="B12" s="77"/>
      <x:c r="C12" s="77"/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  <x:c r="O12" s="77"/>
      <x:c r="P12" s="77"/>
      <x:c r="Q12" s="77"/>
      <x:c r="R12" s="77"/>
      <x:c r="S12" s="77"/>
      <x:c r="T12" s="77"/>
      <x:c r="U12" s="77"/>
      <x:c r="V12" s="77"/>
      <x:c r="W12" s="77"/>
      <x:c r="X12" s="77"/>
      <x:c r="Y12" s="77"/>
      <x:c r="Z12" s="77"/>
    </x:row>
    <x:row r="13">
      <x:c r="A13" s="77"/>
      <x:c r="B13" s="77"/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  <x:c r="O13" s="77"/>
      <x:c r="P13" s="77"/>
      <x:c r="Q13" s="77"/>
      <x:c r="R13" s="77"/>
      <x:c r="S13" s="77"/>
      <x:c r="T13" s="77"/>
      <x:c r="U13" s="77"/>
      <x:c r="V13" s="77"/>
      <x:c r="W13" s="77"/>
      <x:c r="X13" s="77"/>
      <x:c r="Y13" s="77"/>
      <x:c r="Z13" s="77"/>
    </x:row>
    <x:row r="14">
      <x:c r="A14" s="77"/>
      <x:c r="B14" s="77"/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  <x:c r="O14" s="77"/>
      <x:c r="P14" s="77"/>
      <x:c r="Q14" s="77"/>
      <x:c r="R14" s="77"/>
      <x:c r="S14" s="77"/>
      <x:c r="T14" s="77"/>
      <x:c r="U14" s="77"/>
      <x:c r="V14" s="77"/>
      <x:c r="W14" s="77"/>
      <x:c r="X14" s="77"/>
      <x:c r="Y14" s="77"/>
      <x:c r="Z14" s="77"/>
    </x:row>
    <x:row r="15">
      <x:c r="A15" s="77"/>
      <x:c r="B15" s="77"/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  <x:c r="O15" s="77"/>
      <x:c r="P15" s="77"/>
      <x:c r="Q15" s="77"/>
      <x:c r="R15" s="77"/>
      <x:c r="S15" s="77"/>
      <x:c r="T15" s="77"/>
      <x:c r="U15" s="77"/>
      <x:c r="V15" s="77"/>
      <x:c r="W15" s="77"/>
      <x:c r="X15" s="77"/>
      <x:c r="Y15" s="77"/>
      <x:c r="Z15" s="77"/>
    </x:row>
    <x:row r="16">
      <x:c r="A16" s="77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  <x:c r="O16" s="77"/>
      <x:c r="P16" s="77"/>
      <x:c r="Q16" s="77"/>
      <x:c r="R16" s="77"/>
      <x:c r="S16" s="77"/>
      <x:c r="T16" s="77"/>
      <x:c r="U16" s="77"/>
      <x:c r="V16" s="77"/>
      <x:c r="W16" s="77"/>
      <x:c r="X16" s="77"/>
      <x:c r="Y16" s="77"/>
      <x:c r="Z16" s="77"/>
    </x:row>
    <x:row r="17">
      <x:c r="A17" s="77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  <x:c r="O17" s="77"/>
      <x:c r="P17" s="77"/>
      <x:c r="Q17" s="77"/>
      <x:c r="R17" s="77"/>
      <x:c r="S17" s="77"/>
      <x:c r="T17" s="77"/>
      <x:c r="U17" s="77"/>
      <x:c r="V17" s="77"/>
      <x:c r="W17" s="77"/>
      <x:c r="X17" s="77"/>
      <x:c r="Y17" s="77"/>
      <x:c r="Z17" s="77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77"/>
      <x:c r="R18" s="77"/>
      <x:c r="S18" s="77"/>
      <x:c r="T18" s="77"/>
      <x:c r="U18" s="77"/>
      <x:c r="V18" s="77"/>
      <x:c r="W18" s="77"/>
      <x:c r="X18" s="77"/>
      <x:c r="Y18" s="77"/>
      <x:c r="Z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  <x:c r="R19" s="77"/>
      <x:c r="S19" s="77"/>
      <x:c r="T19" s="77"/>
      <x:c r="U19" s="77"/>
      <x:c r="V19" s="77"/>
      <x:c r="W19" s="77"/>
      <x:c r="X19" s="77"/>
      <x:c r="Y19" s="77"/>
      <x:c r="Z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  <x:c r="S20" s="77"/>
      <x:c r="T20" s="77"/>
      <x:c r="U20" s="77"/>
      <x:c r="V20" s="77"/>
      <x:c r="W20" s="77"/>
      <x:c r="X20" s="77"/>
      <x:c r="Y20" s="77"/>
      <x:c r="Z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  <x:c r="O21" s="77"/>
      <x:c r="P21" s="77"/>
      <x:c r="Q21" s="77"/>
      <x:c r="R21" s="77"/>
      <x:c r="S21" s="77"/>
      <x:c r="T21" s="77"/>
      <x:c r="U21" s="77"/>
      <x:c r="V21" s="77"/>
      <x:c r="W21" s="77"/>
      <x:c r="X21" s="77"/>
      <x:c r="Y21" s="77"/>
      <x:c r="Z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77"/>
      <x:c r="R22" s="77"/>
      <x:c r="S22" s="77"/>
      <x:c r="T22" s="77"/>
      <x:c r="U22" s="77"/>
      <x:c r="V22" s="77"/>
      <x:c r="W22" s="77"/>
      <x:c r="X22" s="77"/>
      <x:c r="Y22" s="77"/>
      <x:c r="Z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77"/>
      <x:c r="P23" s="77"/>
      <x:c r="Q23" s="77"/>
      <x:c r="R23" s="77"/>
      <x:c r="S23" s="77"/>
      <x:c r="T23" s="77"/>
      <x:c r="U23" s="77"/>
      <x:c r="V23" s="77"/>
      <x:c r="W23" s="77"/>
      <x:c r="X23" s="77"/>
      <x:c r="Y23" s="77"/>
      <x:c r="Z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  <x:c r="S24" s="77"/>
      <x:c r="T24" s="77"/>
      <x:c r="U24" s="77"/>
      <x:c r="V24" s="77"/>
      <x:c r="W24" s="77"/>
      <x:c r="X24" s="77"/>
      <x:c r="Y24" s="77"/>
      <x:c r="Z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  <x:c r="O25" s="77"/>
      <x:c r="P25" s="77"/>
      <x:c r="Q25" s="77"/>
      <x:c r="R25" s="77"/>
      <x:c r="S25" s="77"/>
      <x:c r="T25" s="77"/>
      <x:c r="U25" s="77"/>
      <x:c r="V25" s="77"/>
      <x:c r="W25" s="77"/>
      <x:c r="X25" s="77"/>
      <x:c r="Y25" s="77"/>
      <x:c r="Z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77"/>
      <x:c r="P26" s="77"/>
      <x:c r="Q26" s="77"/>
      <x:c r="R26" s="77"/>
      <x:c r="S26" s="77"/>
      <x:c r="T26" s="77"/>
      <x:c r="U26" s="77"/>
      <x:c r="V26" s="77"/>
      <x:c r="W26" s="77"/>
      <x:c r="X26" s="77"/>
      <x:c r="Y26" s="77"/>
      <x:c r="Z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77"/>
      <x:c r="P27" s="77"/>
      <x:c r="Q27" s="77"/>
      <x:c r="R27" s="77"/>
      <x:c r="S27" s="77"/>
      <x:c r="T27" s="77"/>
      <x:c r="U27" s="77"/>
      <x:c r="V27" s="77"/>
      <x:c r="W27" s="77"/>
      <x:c r="X27" s="77"/>
      <x:c r="Y27" s="77"/>
      <x:c r="Z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77"/>
      <x:c r="P28" s="77"/>
      <x:c r="Q28" s="77"/>
      <x:c r="R28" s="77"/>
      <x:c r="S28" s="77"/>
      <x:c r="T28" s="77"/>
      <x:c r="U28" s="77"/>
      <x:c r="V28" s="77"/>
      <x:c r="W28" s="77"/>
      <x:c r="X28" s="77"/>
      <x:c r="Y28" s="77"/>
      <x:c r="Z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77"/>
      <x:c r="P29" s="77"/>
      <x:c r="Q29" s="77"/>
      <x:c r="R29" s="77"/>
      <x:c r="S29" s="77"/>
      <x:c r="T29" s="77"/>
      <x:c r="U29" s="77"/>
      <x:c r="V29" s="77"/>
      <x:c r="W29" s="77"/>
      <x:c r="X29" s="77"/>
      <x:c r="Y29" s="77"/>
      <x:c r="Z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77"/>
      <x:c r="R30" s="77"/>
      <x:c r="S30" s="77"/>
      <x:c r="T30" s="77"/>
      <x:c r="U30" s="77"/>
      <x:c r="V30" s="77"/>
      <x:c r="W30" s="77"/>
      <x:c r="X30" s="77"/>
      <x:c r="Y30" s="77"/>
      <x:c r="Z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  <x:c r="O31" s="77"/>
      <x:c r="P31" s="77"/>
      <x:c r="Q31" s="77"/>
      <x:c r="R31" s="77"/>
      <x:c r="S31" s="77"/>
      <x:c r="T31" s="77"/>
      <x:c r="U31" s="77"/>
      <x:c r="V31" s="77"/>
      <x:c r="W31" s="77"/>
      <x:c r="X31" s="77"/>
      <x:c r="Y31" s="77"/>
      <x:c r="Z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7"/>
      <x:c r="Q32" s="77"/>
      <x:c r="R32" s="77"/>
      <x:c r="S32" s="77"/>
      <x:c r="T32" s="77"/>
      <x:c r="U32" s="77"/>
      <x:c r="V32" s="77"/>
      <x:c r="W32" s="77"/>
      <x:c r="X32" s="77"/>
      <x:c r="Y32" s="77"/>
      <x:c r="Z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  <x:c r="O33" s="77"/>
      <x:c r="P33" s="77"/>
      <x:c r="Q33" s="77"/>
      <x:c r="R33" s="77"/>
      <x:c r="S33" s="77"/>
      <x:c r="T33" s="77"/>
      <x:c r="U33" s="77"/>
      <x:c r="V33" s="77"/>
      <x:c r="W33" s="77"/>
      <x:c r="X33" s="77"/>
      <x:c r="Y33" s="77"/>
      <x:c r="Z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7"/>
      <x:c r="Q34" s="77"/>
      <x:c r="R34" s="77"/>
      <x:c r="S34" s="77"/>
      <x:c r="T34" s="77"/>
      <x:c r="U34" s="77"/>
      <x:c r="V34" s="77"/>
      <x:c r="W34" s="77"/>
      <x:c r="X34" s="77"/>
      <x:c r="Y34" s="77"/>
      <x:c r="Z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  <x:c r="O35" s="77"/>
      <x:c r="P35" s="77"/>
      <x:c r="Q35" s="77"/>
      <x:c r="R35" s="77"/>
      <x:c r="S35" s="77"/>
      <x:c r="T35" s="77"/>
      <x:c r="U35" s="77"/>
      <x:c r="V35" s="77"/>
      <x:c r="W35" s="77"/>
      <x:c r="X35" s="77"/>
      <x:c r="Y35" s="77"/>
      <x:c r="Z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  <x:c r="S36" s="77"/>
      <x:c r="T36" s="77"/>
      <x:c r="U36" s="77"/>
      <x:c r="V36" s="77"/>
      <x:c r="W36" s="77"/>
      <x:c r="X36" s="77"/>
      <x:c r="Y36" s="77"/>
      <x:c r="Z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  <x:c r="O37" s="77"/>
      <x:c r="P37" s="77"/>
      <x:c r="Q37" s="77"/>
      <x:c r="R37" s="77"/>
      <x:c r="S37" s="77"/>
      <x:c r="T37" s="77"/>
      <x:c r="U37" s="77"/>
      <x:c r="V37" s="77"/>
      <x:c r="W37" s="77"/>
      <x:c r="X37" s="77"/>
      <x:c r="Y37" s="77"/>
      <x:c r="Z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77"/>
      <x:c r="P38" s="77"/>
      <x:c r="Q38" s="77"/>
      <x:c r="R38" s="77"/>
      <x:c r="S38" s="77"/>
      <x:c r="T38" s="77"/>
      <x:c r="U38" s="77"/>
      <x:c r="V38" s="77"/>
      <x:c r="W38" s="77"/>
      <x:c r="X38" s="77"/>
      <x:c r="Y38" s="77"/>
      <x:c r="Z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  <x:c r="O39" s="77"/>
      <x:c r="P39" s="77"/>
      <x:c r="Q39" s="77"/>
      <x:c r="R39" s="77"/>
      <x:c r="S39" s="77"/>
      <x:c r="T39" s="77"/>
      <x:c r="U39" s="77"/>
      <x:c r="V39" s="77"/>
      <x:c r="W39" s="77"/>
      <x:c r="X39" s="77"/>
      <x:c r="Y39" s="77"/>
      <x:c r="Z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7"/>
      <x:c r="Q40" s="77"/>
      <x:c r="R40" s="77"/>
      <x:c r="S40" s="77"/>
      <x:c r="T40" s="77"/>
      <x:c r="U40" s="77"/>
      <x:c r="V40" s="77"/>
      <x:c r="W40" s="77"/>
      <x:c r="X40" s="77"/>
      <x:c r="Y40" s="77"/>
      <x:c r="Z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  <x:c r="O41" s="77"/>
      <x:c r="P41" s="77"/>
      <x:c r="Q41" s="77"/>
      <x:c r="R41" s="77"/>
      <x:c r="S41" s="77"/>
      <x:c r="T41" s="77"/>
      <x:c r="U41" s="77"/>
      <x:c r="V41" s="77"/>
      <x:c r="W41" s="77"/>
      <x:c r="X41" s="77"/>
      <x:c r="Y41" s="77"/>
      <x:c r="Z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  <x:c r="O42" s="77"/>
      <x:c r="P42" s="77"/>
      <x:c r="Q42" s="77"/>
      <x:c r="R42" s="77"/>
      <x:c r="S42" s="77"/>
      <x:c r="T42" s="77"/>
      <x:c r="U42" s="77"/>
      <x:c r="V42" s="77"/>
      <x:c r="W42" s="77"/>
      <x:c r="X42" s="77"/>
      <x:c r="Y42" s="77"/>
      <x:c r="Z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  <x:c r="O43" s="77"/>
      <x:c r="P43" s="77"/>
      <x:c r="Q43" s="77"/>
      <x:c r="R43" s="77"/>
      <x:c r="S43" s="77"/>
      <x:c r="T43" s="77"/>
      <x:c r="U43" s="77"/>
      <x:c r="V43" s="77"/>
      <x:c r="W43" s="77"/>
      <x:c r="X43" s="77"/>
      <x:c r="Y43" s="77"/>
      <x:c r="Z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  <x:c r="O44" s="77"/>
      <x:c r="P44" s="77"/>
      <x:c r="Q44" s="77"/>
      <x:c r="R44" s="77"/>
      <x:c r="S44" s="77"/>
      <x:c r="T44" s="77"/>
      <x:c r="U44" s="77"/>
      <x:c r="V44" s="77"/>
      <x:c r="W44" s="77"/>
      <x:c r="X44" s="77"/>
      <x:c r="Y44" s="77"/>
      <x:c r="Z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  <x:c r="O45" s="77"/>
      <x:c r="P45" s="77"/>
      <x:c r="Q45" s="77"/>
      <x:c r="R45" s="77"/>
      <x:c r="S45" s="77"/>
      <x:c r="T45" s="77"/>
      <x:c r="U45" s="77"/>
      <x:c r="V45" s="77"/>
      <x:c r="W45" s="77"/>
      <x:c r="X45" s="77"/>
      <x:c r="Y45" s="77"/>
      <x:c r="Z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  <x:c r="O46" s="77"/>
      <x:c r="P46" s="77"/>
      <x:c r="Q46" s="77"/>
      <x:c r="R46" s="77"/>
      <x:c r="S46" s="77"/>
      <x:c r="T46" s="77"/>
      <x:c r="U46" s="77"/>
      <x:c r="V46" s="77"/>
      <x:c r="W46" s="77"/>
      <x:c r="X46" s="77"/>
      <x:c r="Y46" s="77"/>
      <x:c r="Z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  <x:c r="O47" s="77"/>
      <x:c r="P47" s="77"/>
      <x:c r="Q47" s="77"/>
      <x:c r="R47" s="77"/>
      <x:c r="S47" s="77"/>
      <x:c r="T47" s="77"/>
      <x:c r="U47" s="77"/>
      <x:c r="V47" s="77"/>
      <x:c r="W47" s="77"/>
      <x:c r="X47" s="77"/>
      <x:c r="Y47" s="77"/>
      <x:c r="Z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77"/>
      <x:c r="P48" s="77"/>
      <x:c r="Q48" s="77"/>
      <x:c r="R48" s="77"/>
      <x:c r="S48" s="77"/>
      <x:c r="T48" s="77"/>
      <x:c r="U48" s="77"/>
      <x:c r="V48" s="77"/>
      <x:c r="W48" s="77"/>
      <x:c r="X48" s="77"/>
      <x:c r="Y48" s="77"/>
      <x:c r="Z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77"/>
      <x:c r="P49" s="77"/>
      <x:c r="Q49" s="77"/>
      <x:c r="R49" s="77"/>
      <x:c r="S49" s="77"/>
      <x:c r="T49" s="77"/>
      <x:c r="U49" s="77"/>
      <x:c r="V49" s="77"/>
      <x:c r="W49" s="77"/>
      <x:c r="X49" s="77"/>
      <x:c r="Y49" s="77"/>
      <x:c r="Z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  <x:c r="S50" s="77"/>
      <x:c r="T50" s="77"/>
      <x:c r="U50" s="77"/>
      <x:c r="V50" s="77"/>
      <x:c r="W50" s="77"/>
      <x:c r="X50" s="77"/>
      <x:c r="Y50" s="77"/>
      <x:c r="Z50" s="77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 ht="28" customHeight="1">
      <x:c r="A1" s="119" t="str">
        <x:v>CASA 1569 — Supplier Evaluation Weights</x:v>
      </x:c>
      <x:c r="B1" s="119"/>
      <x:c r="C1" s="111"/>
      <x:c r="D1" s="111"/>
      <x:c r="E1" s="111"/>
      <x:c r="F1" s="111"/>
      <x:c r="G1" s="111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67"/>
      <x:c r="B2" s="6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3">
      <x:c r="A3" s="96" t="str">
        <x:v>Criterion</x:v>
      </x:c>
      <x:c r="B3" s="96" t="str">
        <x:v>Weight</x:v>
      </x:c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  <x:c r="X3" s="77"/>
      <x:c r="Y3" s="77"/>
      <x:c r="Z3" s="77"/>
    </x:row>
    <x:row r="4">
      <x:c r="A4" s="67" t="str">
        <x:v>Provenance / traceability</x:v>
      </x:c>
      <x:c r="B4" s="107" t="n">
        <x:v>0.25</x:v>
      </x:c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  <x:c r="Z4" s="77"/>
    </x:row>
    <x:row r="5">
      <x:c r="A5" s="67" t="str">
        <x:v>Startup flexibility / MOQ</x:v>
      </x:c>
      <x:c r="B5" s="107" t="n">
        <x:v>0.15</x:v>
      </x:c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>
      <x:c r="A6" s="67" t="str">
        <x:v>Export readiness</x:v>
      </x:c>
      <x:c r="B6" s="107" t="n">
        <x:v>0.15</x:v>
      </x:c>
      <x:c r="C6" s="77"/>
      <x:c r="D6" s="77"/>
      <x:c r="E6" s="77"/>
      <x:c r="F6" s="77"/>
      <x:c r="G6" s="77"/>
      <x:c r="H6" s="77"/>
      <x:c r="I6" s="77"/>
      <x:c r="J6" s="77"/>
      <x:c r="K6" s="77"/>
      <x:c r="L6" s="77"/>
      <x:c r="M6" s="77"/>
      <x:c r="N6" s="77"/>
      <x:c r="O6" s="77"/>
      <x:c r="P6" s="77"/>
      <x:c r="Q6" s="77"/>
      <x:c r="R6" s="77"/>
      <x:c r="S6" s="77"/>
      <x:c r="T6" s="77"/>
      <x:c r="U6" s="77"/>
      <x:c r="V6" s="77"/>
      <x:c r="W6" s="77"/>
      <x:c r="X6" s="77"/>
      <x:c r="Y6" s="77"/>
      <x:c r="Z6" s="77"/>
    </x:row>
    <x:row r="7">
      <x:c r="A7" s="67" t="str">
        <x:v>Private-label / packing fit</x:v>
      </x:c>
      <x:c r="B7" s="107" t="n">
        <x:v>0.1</x:v>
      </x:c>
      <x:c r="C7" s="77"/>
      <x:c r="D7" s="77"/>
      <x:c r="E7" s="77"/>
      <x:c r="F7" s="77"/>
      <x:c r="G7" s="77"/>
      <x:c r="H7" s="77"/>
      <x:c r="I7" s="77"/>
      <x:c r="J7" s="77"/>
      <x:c r="K7" s="77"/>
      <x:c r="L7" s="77"/>
      <x:c r="M7" s="77"/>
      <x:c r="N7" s="77"/>
      <x:c r="O7" s="77"/>
      <x:c r="P7" s="77"/>
      <x:c r="Q7" s="77"/>
      <x:c r="R7" s="77"/>
      <x:c r="S7" s="77"/>
      <x:c r="T7" s="77"/>
      <x:c r="U7" s="77"/>
      <x:c r="V7" s="77"/>
      <x:c r="W7" s="77"/>
      <x:c r="X7" s="77"/>
      <x:c r="Y7" s="77"/>
      <x:c r="Z7" s="77"/>
    </x:row>
    <x:row r="8">
      <x:c r="A8" s="67" t="str">
        <x:v>Brand-story fit</x:v>
      </x:c>
      <x:c r="B8" s="107" t="n">
        <x:v>0.15</x:v>
      </x:c>
      <x:c r="C8" s="77"/>
      <x:c r="D8" s="77"/>
      <x:c r="E8" s="77"/>
      <x:c r="F8" s="77"/>
      <x:c r="G8" s="77"/>
      <x:c r="H8" s="77"/>
      <x:c r="I8" s="77"/>
      <x:c r="J8" s="77"/>
      <x:c r="K8" s="77"/>
      <x:c r="L8" s="77"/>
      <x:c r="M8" s="77"/>
      <x:c r="N8" s="77"/>
      <x:c r="O8" s="77"/>
      <x:c r="P8" s="77"/>
      <x:c r="Q8" s="77"/>
      <x:c r="R8" s="77"/>
      <x:c r="S8" s="77"/>
      <x:c r="T8" s="77"/>
      <x:c r="U8" s="77"/>
      <x:c r="V8" s="77"/>
      <x:c r="W8" s="77"/>
      <x:c r="X8" s="77"/>
      <x:c r="Y8" s="77"/>
      <x:c r="Z8" s="77"/>
    </x:row>
    <x:row r="9">
      <x:c r="A9" s="67" t="str">
        <x:v>Cup quality potential</x:v>
      </x:c>
      <x:c r="B9" s="107" t="n">
        <x:v>0.2</x:v>
      </x:c>
      <x:c r="C9" s="77"/>
      <x:c r="D9" s="77"/>
      <x:c r="E9" s="77"/>
      <x:c r="F9" s="77"/>
      <x:c r="G9" s="77"/>
      <x:c r="H9" s="77"/>
      <x:c r="I9" s="77"/>
      <x:c r="J9" s="77"/>
      <x:c r="K9" s="77"/>
      <x:c r="L9" s="77"/>
      <x:c r="M9" s="77"/>
      <x:c r="N9" s="77"/>
      <x:c r="O9" s="77"/>
      <x:c r="P9" s="77"/>
      <x:c r="Q9" s="77"/>
      <x:c r="R9" s="77"/>
      <x:c r="S9" s="77"/>
      <x:c r="T9" s="77"/>
      <x:c r="U9" s="77"/>
      <x:c r="V9" s="77"/>
      <x:c r="W9" s="77"/>
      <x:c r="X9" s="77"/>
      <x:c r="Y9" s="77"/>
      <x:c r="Z9" s="77"/>
    </x:row>
    <x:row r="10">
      <x:c r="A10" s="67"/>
      <x:c r="B10" s="67"/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  <x:c r="S10" s="77"/>
      <x:c r="T10" s="77"/>
      <x:c r="U10" s="77"/>
      <x:c r="V10" s="77"/>
      <x:c r="W10" s="77"/>
      <x:c r="X10" s="77"/>
      <x:c r="Y10" s="77"/>
      <x:c r="Z10" s="77"/>
    </x:row>
    <x:row r="11">
      <x:c r="A11" s="91" t="str">
        <x:v>Score</x:v>
      </x:c>
      <x:c r="B11" s="91" t="str">
        <x:v>Meaning</x:v>
      </x:c>
      <x:c r="C11" s="77"/>
      <x:c r="D11" s="77"/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  <x:c r="O11" s="77"/>
      <x:c r="P11" s="77"/>
      <x:c r="Q11" s="77"/>
      <x:c r="R11" s="77"/>
      <x:c r="S11" s="77"/>
      <x:c r="T11" s="77"/>
      <x:c r="U11" s="77"/>
      <x:c r="V11" s="77"/>
      <x:c r="W11" s="77"/>
      <x:c r="X11" s="77"/>
      <x:c r="Y11" s="77"/>
      <x:c r="Z11" s="77"/>
    </x:row>
    <x:row r="12">
      <x:c r="A12" s="67" t="n">
        <x:v>5</x:v>
      </x:c>
      <x:c r="B12" s="67" t="str">
        <x:v>Excellent / proven</x:v>
      </x:c>
      <x:c r="C12" s="77"/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  <x:c r="O12" s="77"/>
      <x:c r="P12" s="77"/>
      <x:c r="Q12" s="77"/>
      <x:c r="R12" s="77"/>
      <x:c r="S12" s="77"/>
      <x:c r="T12" s="77"/>
      <x:c r="U12" s="77"/>
      <x:c r="V12" s="77"/>
      <x:c r="W12" s="77"/>
      <x:c r="X12" s="77"/>
      <x:c r="Y12" s="77"/>
      <x:c r="Z12" s="77"/>
    </x:row>
    <x:row r="13">
      <x:c r="A13" s="67" t="n">
        <x:v>4</x:v>
      </x:c>
      <x:c r="B13" s="67" t="str">
        <x:v>Strong</x:v>
      </x:c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  <x:c r="O13" s="77"/>
      <x:c r="P13" s="77"/>
      <x:c r="Q13" s="77"/>
      <x:c r="R13" s="77"/>
      <x:c r="S13" s="77"/>
      <x:c r="T13" s="77"/>
      <x:c r="U13" s="77"/>
      <x:c r="V13" s="77"/>
      <x:c r="W13" s="77"/>
      <x:c r="X13" s="77"/>
      <x:c r="Y13" s="77"/>
      <x:c r="Z13" s="77"/>
    </x:row>
    <x:row r="14">
      <x:c r="A14" s="67" t="n">
        <x:v>3</x:v>
      </x:c>
      <x:c r="B14" s="67" t="str">
        <x:v>Adequate / needs confirmation</x:v>
      </x:c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  <x:c r="O14" s="77"/>
      <x:c r="P14" s="77"/>
      <x:c r="Q14" s="77"/>
      <x:c r="R14" s="77"/>
      <x:c r="S14" s="77"/>
      <x:c r="T14" s="77"/>
      <x:c r="U14" s="77"/>
      <x:c r="V14" s="77"/>
      <x:c r="W14" s="77"/>
      <x:c r="X14" s="77"/>
      <x:c r="Y14" s="77"/>
      <x:c r="Z14" s="77"/>
    </x:row>
    <x:row r="15">
      <x:c r="A15" s="67" t="n">
        <x:v>2</x:v>
      </x:c>
      <x:c r="B15" s="67" t="str">
        <x:v>Weak</x:v>
      </x:c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  <x:c r="O15" s="77"/>
      <x:c r="P15" s="77"/>
      <x:c r="Q15" s="77"/>
      <x:c r="R15" s="77"/>
      <x:c r="S15" s="77"/>
      <x:c r="T15" s="77"/>
      <x:c r="U15" s="77"/>
      <x:c r="V15" s="77"/>
      <x:c r="W15" s="77"/>
      <x:c r="X15" s="77"/>
      <x:c r="Y15" s="77"/>
      <x:c r="Z15" s="77"/>
    </x:row>
    <x:row r="16">
      <x:c r="A16" s="67" t="n">
        <x:v>1</x:v>
      </x:c>
      <x:c r="B16" s="67" t="str">
        <x:v>Poor / unsuitable</x:v>
      </x:c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  <x:c r="O16" s="77"/>
      <x:c r="P16" s="77"/>
      <x:c r="Q16" s="77"/>
      <x:c r="R16" s="77"/>
      <x:c r="S16" s="77"/>
      <x:c r="T16" s="77"/>
      <x:c r="U16" s="77"/>
      <x:c r="V16" s="77"/>
      <x:c r="W16" s="77"/>
      <x:c r="X16" s="77"/>
      <x:c r="Y16" s="77"/>
      <x:c r="Z16" s="77"/>
    </x:row>
    <x:row r="17">
      <x:c r="A17" s="67" t="str">
        <x:v>Note</x:v>
      </x:c>
      <x:c r="B17" s="67" t="str">
        <x:v>All initial scores are desk-research estimates; replace after samples and supplier responses.</x:v>
      </x:c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  <x:c r="O17" s="77"/>
      <x:c r="P17" s="77"/>
      <x:c r="Q17" s="77"/>
      <x:c r="R17" s="77"/>
      <x:c r="S17" s="77"/>
      <x:c r="T17" s="77"/>
      <x:c r="U17" s="77"/>
      <x:c r="V17" s="77"/>
      <x:c r="W17" s="77"/>
      <x:c r="X17" s="77"/>
      <x:c r="Y17" s="77"/>
      <x:c r="Z17" s="77"/>
    </x:row>
    <x:row r="18">
      <x:c r="A18" s="67"/>
      <x:c r="B18" s="6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77"/>
      <x:c r="R18" s="77"/>
      <x:c r="S18" s="77"/>
      <x:c r="T18" s="77"/>
      <x:c r="U18" s="77"/>
      <x:c r="V18" s="77"/>
      <x:c r="W18" s="77"/>
      <x:c r="X18" s="77"/>
      <x:c r="Y18" s="77"/>
      <x:c r="Z18" s="77"/>
    </x:row>
    <x:row r="19">
      <x:c r="A19" s="67"/>
      <x:c r="B19" s="6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  <x:c r="R19" s="77"/>
      <x:c r="S19" s="77"/>
      <x:c r="T19" s="77"/>
      <x:c r="U19" s="77"/>
      <x:c r="V19" s="77"/>
      <x:c r="W19" s="77"/>
      <x:c r="X19" s="77"/>
      <x:c r="Y19" s="77"/>
      <x:c r="Z19" s="77"/>
    </x:row>
    <x:row r="20">
      <x:c r="A20" s="67"/>
      <x:c r="B20" s="6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  <x:c r="S20" s="77"/>
      <x:c r="T20" s="77"/>
      <x:c r="U20" s="77"/>
      <x:c r="V20" s="77"/>
      <x:c r="W20" s="77"/>
      <x:c r="X20" s="77"/>
      <x:c r="Y20" s="77"/>
      <x:c r="Z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  <x:c r="O21" s="77"/>
      <x:c r="P21" s="77"/>
      <x:c r="Q21" s="77"/>
      <x:c r="R21" s="77"/>
      <x:c r="S21" s="77"/>
      <x:c r="T21" s="77"/>
      <x:c r="U21" s="77"/>
      <x:c r="V21" s="77"/>
      <x:c r="W21" s="77"/>
      <x:c r="X21" s="77"/>
      <x:c r="Y21" s="77"/>
      <x:c r="Z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77"/>
      <x:c r="R22" s="77"/>
      <x:c r="S22" s="77"/>
      <x:c r="T22" s="77"/>
      <x:c r="U22" s="77"/>
      <x:c r="V22" s="77"/>
      <x:c r="W22" s="77"/>
      <x:c r="X22" s="77"/>
      <x:c r="Y22" s="77"/>
      <x:c r="Z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77"/>
      <x:c r="P23" s="77"/>
      <x:c r="Q23" s="77"/>
      <x:c r="R23" s="77"/>
      <x:c r="S23" s="77"/>
      <x:c r="T23" s="77"/>
      <x:c r="U23" s="77"/>
      <x:c r="V23" s="77"/>
      <x:c r="W23" s="77"/>
      <x:c r="X23" s="77"/>
      <x:c r="Y23" s="77"/>
      <x:c r="Z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  <x:c r="S24" s="77"/>
      <x:c r="T24" s="77"/>
      <x:c r="U24" s="77"/>
      <x:c r="V24" s="77"/>
      <x:c r="W24" s="77"/>
      <x:c r="X24" s="77"/>
      <x:c r="Y24" s="77"/>
      <x:c r="Z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  <x:c r="O25" s="77"/>
      <x:c r="P25" s="77"/>
      <x:c r="Q25" s="77"/>
      <x:c r="R25" s="77"/>
      <x:c r="S25" s="77"/>
      <x:c r="T25" s="77"/>
      <x:c r="U25" s="77"/>
      <x:c r="V25" s="77"/>
      <x:c r="W25" s="77"/>
      <x:c r="X25" s="77"/>
      <x:c r="Y25" s="77"/>
      <x:c r="Z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77"/>
      <x:c r="P26" s="77"/>
      <x:c r="Q26" s="77"/>
      <x:c r="R26" s="77"/>
      <x:c r="S26" s="77"/>
      <x:c r="T26" s="77"/>
      <x:c r="U26" s="77"/>
      <x:c r="V26" s="77"/>
      <x:c r="W26" s="77"/>
      <x:c r="X26" s="77"/>
      <x:c r="Y26" s="77"/>
      <x:c r="Z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77"/>
      <x:c r="P27" s="77"/>
      <x:c r="Q27" s="77"/>
      <x:c r="R27" s="77"/>
      <x:c r="S27" s="77"/>
      <x:c r="T27" s="77"/>
      <x:c r="U27" s="77"/>
      <x:c r="V27" s="77"/>
      <x:c r="W27" s="77"/>
      <x:c r="X27" s="77"/>
      <x:c r="Y27" s="77"/>
      <x:c r="Z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77"/>
      <x:c r="P28" s="77"/>
      <x:c r="Q28" s="77"/>
      <x:c r="R28" s="77"/>
      <x:c r="S28" s="77"/>
      <x:c r="T28" s="77"/>
      <x:c r="U28" s="77"/>
      <x:c r="V28" s="77"/>
      <x:c r="W28" s="77"/>
      <x:c r="X28" s="77"/>
      <x:c r="Y28" s="77"/>
      <x:c r="Z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77"/>
      <x:c r="P29" s="77"/>
      <x:c r="Q29" s="77"/>
      <x:c r="R29" s="77"/>
      <x:c r="S29" s="77"/>
      <x:c r="T29" s="77"/>
      <x:c r="U29" s="77"/>
      <x:c r="V29" s="77"/>
      <x:c r="W29" s="77"/>
      <x:c r="X29" s="77"/>
      <x:c r="Y29" s="77"/>
      <x:c r="Z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77"/>
      <x:c r="R30" s="77"/>
      <x:c r="S30" s="77"/>
      <x:c r="T30" s="77"/>
      <x:c r="U30" s="77"/>
      <x:c r="V30" s="77"/>
      <x:c r="W30" s="77"/>
      <x:c r="X30" s="77"/>
      <x:c r="Y30" s="77"/>
      <x:c r="Z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  <x:c r="O31" s="77"/>
      <x:c r="P31" s="77"/>
      <x:c r="Q31" s="77"/>
      <x:c r="R31" s="77"/>
      <x:c r="S31" s="77"/>
      <x:c r="T31" s="77"/>
      <x:c r="U31" s="77"/>
      <x:c r="V31" s="77"/>
      <x:c r="W31" s="77"/>
      <x:c r="X31" s="77"/>
      <x:c r="Y31" s="77"/>
      <x:c r="Z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7"/>
      <x:c r="Q32" s="77"/>
      <x:c r="R32" s="77"/>
      <x:c r="S32" s="77"/>
      <x:c r="T32" s="77"/>
      <x:c r="U32" s="77"/>
      <x:c r="V32" s="77"/>
      <x:c r="W32" s="77"/>
      <x:c r="X32" s="77"/>
      <x:c r="Y32" s="77"/>
      <x:c r="Z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  <x:c r="O33" s="77"/>
      <x:c r="P33" s="77"/>
      <x:c r="Q33" s="77"/>
      <x:c r="R33" s="77"/>
      <x:c r="S33" s="77"/>
      <x:c r="T33" s="77"/>
      <x:c r="U33" s="77"/>
      <x:c r="V33" s="77"/>
      <x:c r="W33" s="77"/>
      <x:c r="X33" s="77"/>
      <x:c r="Y33" s="77"/>
      <x:c r="Z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7"/>
      <x:c r="Q34" s="77"/>
      <x:c r="R34" s="77"/>
      <x:c r="S34" s="77"/>
      <x:c r="T34" s="77"/>
      <x:c r="U34" s="77"/>
      <x:c r="V34" s="77"/>
      <x:c r="W34" s="77"/>
      <x:c r="X34" s="77"/>
      <x:c r="Y34" s="77"/>
      <x:c r="Z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  <x:c r="O35" s="77"/>
      <x:c r="P35" s="77"/>
      <x:c r="Q35" s="77"/>
      <x:c r="R35" s="77"/>
      <x:c r="S35" s="77"/>
      <x:c r="T35" s="77"/>
      <x:c r="U35" s="77"/>
      <x:c r="V35" s="77"/>
      <x:c r="W35" s="77"/>
      <x:c r="X35" s="77"/>
      <x:c r="Y35" s="77"/>
      <x:c r="Z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  <x:c r="S36" s="77"/>
      <x:c r="T36" s="77"/>
      <x:c r="U36" s="77"/>
      <x:c r="V36" s="77"/>
      <x:c r="W36" s="77"/>
      <x:c r="X36" s="77"/>
      <x:c r="Y36" s="77"/>
      <x:c r="Z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  <x:c r="O37" s="77"/>
      <x:c r="P37" s="77"/>
      <x:c r="Q37" s="77"/>
      <x:c r="R37" s="77"/>
      <x:c r="S37" s="77"/>
      <x:c r="T37" s="77"/>
      <x:c r="U37" s="77"/>
      <x:c r="V37" s="77"/>
      <x:c r="W37" s="77"/>
      <x:c r="X37" s="77"/>
      <x:c r="Y37" s="77"/>
      <x:c r="Z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77"/>
      <x:c r="P38" s="77"/>
      <x:c r="Q38" s="77"/>
      <x:c r="R38" s="77"/>
      <x:c r="S38" s="77"/>
      <x:c r="T38" s="77"/>
      <x:c r="U38" s="77"/>
      <x:c r="V38" s="77"/>
      <x:c r="W38" s="77"/>
      <x:c r="X38" s="77"/>
      <x:c r="Y38" s="77"/>
      <x:c r="Z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  <x:c r="O39" s="77"/>
      <x:c r="P39" s="77"/>
      <x:c r="Q39" s="77"/>
      <x:c r="R39" s="77"/>
      <x:c r="S39" s="77"/>
      <x:c r="T39" s="77"/>
      <x:c r="U39" s="77"/>
      <x:c r="V39" s="77"/>
      <x:c r="W39" s="77"/>
      <x:c r="X39" s="77"/>
      <x:c r="Y39" s="77"/>
      <x:c r="Z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7"/>
      <x:c r="Q40" s="77"/>
      <x:c r="R40" s="77"/>
      <x:c r="S40" s="77"/>
      <x:c r="T40" s="77"/>
      <x:c r="U40" s="77"/>
      <x:c r="V40" s="77"/>
      <x:c r="W40" s="77"/>
      <x:c r="X40" s="77"/>
      <x:c r="Y40" s="77"/>
      <x:c r="Z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  <x:c r="O41" s="77"/>
      <x:c r="P41" s="77"/>
      <x:c r="Q41" s="77"/>
      <x:c r="R41" s="77"/>
      <x:c r="S41" s="77"/>
      <x:c r="T41" s="77"/>
      <x:c r="U41" s="77"/>
      <x:c r="V41" s="77"/>
      <x:c r="W41" s="77"/>
      <x:c r="X41" s="77"/>
      <x:c r="Y41" s="77"/>
      <x:c r="Z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  <x:c r="O42" s="77"/>
      <x:c r="P42" s="77"/>
      <x:c r="Q42" s="77"/>
      <x:c r="R42" s="77"/>
      <x:c r="S42" s="77"/>
      <x:c r="T42" s="77"/>
      <x:c r="U42" s="77"/>
      <x:c r="V42" s="77"/>
      <x:c r="W42" s="77"/>
      <x:c r="X42" s="77"/>
      <x:c r="Y42" s="77"/>
      <x:c r="Z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  <x:c r="O43" s="77"/>
      <x:c r="P43" s="77"/>
      <x:c r="Q43" s="77"/>
      <x:c r="R43" s="77"/>
      <x:c r="S43" s="77"/>
      <x:c r="T43" s="77"/>
      <x:c r="U43" s="77"/>
      <x:c r="V43" s="77"/>
      <x:c r="W43" s="77"/>
      <x:c r="X43" s="77"/>
      <x:c r="Y43" s="77"/>
      <x:c r="Z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  <x:c r="O44" s="77"/>
      <x:c r="P44" s="77"/>
      <x:c r="Q44" s="77"/>
      <x:c r="R44" s="77"/>
      <x:c r="S44" s="77"/>
      <x:c r="T44" s="77"/>
      <x:c r="U44" s="77"/>
      <x:c r="V44" s="77"/>
      <x:c r="W44" s="77"/>
      <x:c r="X44" s="77"/>
      <x:c r="Y44" s="77"/>
      <x:c r="Z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  <x:c r="O45" s="77"/>
      <x:c r="P45" s="77"/>
      <x:c r="Q45" s="77"/>
      <x:c r="R45" s="77"/>
      <x:c r="S45" s="77"/>
      <x:c r="T45" s="77"/>
      <x:c r="U45" s="77"/>
      <x:c r="V45" s="77"/>
      <x:c r="W45" s="77"/>
      <x:c r="X45" s="77"/>
      <x:c r="Y45" s="77"/>
      <x:c r="Z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  <x:c r="O46" s="77"/>
      <x:c r="P46" s="77"/>
      <x:c r="Q46" s="77"/>
      <x:c r="R46" s="77"/>
      <x:c r="S46" s="77"/>
      <x:c r="T46" s="77"/>
      <x:c r="U46" s="77"/>
      <x:c r="V46" s="77"/>
      <x:c r="W46" s="77"/>
      <x:c r="X46" s="77"/>
      <x:c r="Y46" s="77"/>
      <x:c r="Z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  <x:c r="O47" s="77"/>
      <x:c r="P47" s="77"/>
      <x:c r="Q47" s="77"/>
      <x:c r="R47" s="77"/>
      <x:c r="S47" s="77"/>
      <x:c r="T47" s="77"/>
      <x:c r="U47" s="77"/>
      <x:c r="V47" s="77"/>
      <x:c r="W47" s="77"/>
      <x:c r="X47" s="77"/>
      <x:c r="Y47" s="77"/>
      <x:c r="Z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77"/>
      <x:c r="P48" s="77"/>
      <x:c r="Q48" s="77"/>
      <x:c r="R48" s="77"/>
      <x:c r="S48" s="77"/>
      <x:c r="T48" s="77"/>
      <x:c r="U48" s="77"/>
      <x:c r="V48" s="77"/>
      <x:c r="W48" s="77"/>
      <x:c r="X48" s="77"/>
      <x:c r="Y48" s="77"/>
      <x:c r="Z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77"/>
      <x:c r="P49" s="77"/>
      <x:c r="Q49" s="77"/>
      <x:c r="R49" s="77"/>
      <x:c r="S49" s="77"/>
      <x:c r="T49" s="77"/>
      <x:c r="U49" s="77"/>
      <x:c r="V49" s="77"/>
      <x:c r="W49" s="77"/>
      <x:c r="X49" s="77"/>
      <x:c r="Y49" s="77"/>
      <x:c r="Z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  <x:c r="S50" s="77"/>
      <x:c r="T50" s="77"/>
      <x:c r="U50" s="77"/>
      <x:c r="V50" s="77"/>
      <x:c r="W50" s="77"/>
      <x:c r="X50" s="77"/>
      <x:c r="Y50" s="77"/>
      <x:c r="Z50" s="77"/>
    </x:row>
  </x:sheetData>
  <x:mergeCells>
    <x:mergeCell ref="A1:G1"/>
  </x:mergeCells>
  <x:pageMargins left="0.7" right="0.7" top="0.75" bottom="0.75" header="0.3" footer="0.3"/>
</x:worksheet>
</file>